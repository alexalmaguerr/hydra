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godinez\Documents\Gerencia de Sistemas de Información\Facturas Varias\generacion de polizas\"/>
    </mc:Choice>
  </mc:AlternateContent>
  <xr:revisionPtr revIDLastSave="0" documentId="8_{C9D24C48-244D-4EE5-935A-D3E61A4B5D64}" xr6:coauthVersionLast="36" xr6:coauthVersionMax="36" xr10:uidLastSave="{00000000-0000-0000-0000-000000000000}"/>
  <bookViews>
    <workbookView xWindow="0" yWindow="0" windowWidth="20490" windowHeight="7605" activeTab="2" xr2:uid="{00000000-000D-0000-FFFF-FFFF00000000}"/>
  </bookViews>
  <sheets>
    <sheet name="Registro Control" sheetId="3" r:id="rId1"/>
    <sheet name="Cabecera" sheetId="2" r:id="rId2"/>
    <sheet name="Detalle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F4" i="1" s="1"/>
  <c r="E5" i="1" s="1"/>
  <c r="F3" i="1"/>
  <c r="F5" i="1" l="1"/>
  <c r="E6" i="1" s="1"/>
  <c r="F6" i="1" s="1"/>
  <c r="E7" i="1" s="1"/>
  <c r="F7" i="1" s="1"/>
  <c r="E8" i="1" s="1"/>
  <c r="F8" i="1" s="1"/>
  <c r="E9" i="1" s="1"/>
  <c r="F9" i="1" s="1"/>
  <c r="E10" i="1" s="1"/>
  <c r="F10" i="1" s="1"/>
  <c r="E11" i="1" s="1"/>
  <c r="F11" i="1" s="1"/>
  <c r="E12" i="1" s="1"/>
  <c r="F12" i="1" s="1"/>
  <c r="E13" i="1" s="1"/>
  <c r="F13" i="1" s="1"/>
  <c r="E14" i="1" s="1"/>
  <c r="F14" i="1" s="1"/>
  <c r="E15" i="1" s="1"/>
  <c r="F15" i="1" s="1"/>
  <c r="E16" i="1" s="1"/>
  <c r="F16" i="1" s="1"/>
  <c r="E17" i="1" s="1"/>
  <c r="F17" i="1" s="1"/>
  <c r="E18" i="1" s="1"/>
  <c r="F18" i="1" s="1"/>
  <c r="E19" i="1" s="1"/>
  <c r="F19" i="1" s="1"/>
  <c r="E20" i="1" s="1"/>
  <c r="F20" i="1" s="1"/>
  <c r="E21" i="1" s="1"/>
  <c r="F21" i="1" s="1"/>
  <c r="E22" i="1" s="1"/>
  <c r="F22" i="1" s="1"/>
  <c r="E23" i="1" s="1"/>
  <c r="F23" i="1" s="1"/>
  <c r="E24" i="1" s="1"/>
  <c r="F24" i="1" s="1"/>
  <c r="E25" i="1" s="1"/>
  <c r="F25" i="1" s="1"/>
  <c r="E26" i="1" s="1"/>
  <c r="F26" i="1" s="1"/>
  <c r="E27" i="1" s="1"/>
  <c r="F27" i="1" s="1"/>
  <c r="E28" i="1" s="1"/>
  <c r="F28" i="1" s="1"/>
  <c r="E29" i="1" s="1"/>
  <c r="F29" i="1" s="1"/>
  <c r="E30" i="1" s="1"/>
  <c r="F30" i="1" s="1"/>
  <c r="E31" i="1" s="1"/>
  <c r="F31" i="1" s="1"/>
  <c r="E32" i="1" s="1"/>
  <c r="F32" i="1" s="1"/>
  <c r="E33" i="1" s="1"/>
  <c r="F33" i="1" s="1"/>
  <c r="E34" i="1" s="1"/>
  <c r="F34" i="1" s="1"/>
  <c r="E35" i="1" s="1"/>
  <c r="F35" i="1" s="1"/>
  <c r="E36" i="1" s="1"/>
  <c r="F36" i="1" s="1"/>
  <c r="E37" i="1" s="1"/>
  <c r="F37" i="1" s="1"/>
  <c r="E38" i="1" s="1"/>
  <c r="F38" i="1" s="1"/>
  <c r="E39" i="1" s="1"/>
  <c r="F39" i="1" s="1"/>
  <c r="E40" i="1" s="1"/>
  <c r="F40" i="1" s="1"/>
  <c r="E41" i="1" s="1"/>
  <c r="F41" i="1" s="1"/>
  <c r="E42" i="1" s="1"/>
  <c r="F42" i="1" s="1"/>
  <c r="E43" i="1" s="1"/>
  <c r="F43" i="1" s="1"/>
  <c r="E44" i="1" s="1"/>
  <c r="F44" i="1" s="1"/>
  <c r="E45" i="1" s="1"/>
  <c r="F45" i="1" s="1"/>
  <c r="E46" i="1" s="1"/>
  <c r="F46" i="1" s="1"/>
  <c r="E47" i="1" s="1"/>
  <c r="F47" i="1" s="1"/>
  <c r="E48" i="1" s="1"/>
  <c r="F48" i="1" s="1"/>
  <c r="E49" i="1" s="1"/>
  <c r="F49" i="1" s="1"/>
  <c r="E50" i="1" s="1"/>
  <c r="F50" i="1" s="1"/>
  <c r="E51" i="1" s="1"/>
  <c r="F51" i="1" s="1"/>
  <c r="E52" i="1" s="1"/>
  <c r="F52" i="1" s="1"/>
  <c r="E53" i="1" s="1"/>
  <c r="F53" i="1" s="1"/>
  <c r="E54" i="1" s="1"/>
  <c r="F54" i="1" s="1"/>
  <c r="E55" i="1" s="1"/>
  <c r="F55" i="1" s="1"/>
  <c r="E56" i="1" s="1"/>
  <c r="F56" i="1" s="1"/>
  <c r="E57" i="1" s="1"/>
  <c r="F57" i="1" s="1"/>
  <c r="E58" i="1" s="1"/>
  <c r="F58" i="1" s="1"/>
  <c r="E59" i="1" s="1"/>
  <c r="F59" i="1" s="1"/>
  <c r="E60" i="1" s="1"/>
  <c r="F60" i="1" s="1"/>
  <c r="E61" i="1" s="1"/>
  <c r="F61" i="1" s="1"/>
  <c r="E62" i="1" s="1"/>
  <c r="F62" i="1" s="1"/>
  <c r="D63" i="1"/>
  <c r="D37" i="2" l="1"/>
  <c r="D30" i="3"/>
</calcChain>
</file>

<file path=xl/sharedStrings.xml><?xml version="1.0" encoding="utf-8"?>
<sst xmlns="http://schemas.openxmlformats.org/spreadsheetml/2006/main" count="623" uniqueCount="326">
  <si>
    <t>CAMPO</t>
  </si>
  <si>
    <t>TIPO</t>
  </si>
  <si>
    <t>LNG.</t>
  </si>
  <si>
    <t>DESCRIPCIÓN</t>
  </si>
  <si>
    <t>COMENTARIOS</t>
  </si>
  <si>
    <t>SEGNAM</t>
  </si>
  <si>
    <t>CHAR</t>
  </si>
  <si>
    <t>Tipo registro</t>
  </si>
  <si>
    <t>MANDT</t>
  </si>
  <si>
    <t>Mandante</t>
  </si>
  <si>
    <t>Valor fijo ‘000’</t>
  </si>
  <si>
    <t>DOCNUM</t>
  </si>
  <si>
    <t>NUM</t>
  </si>
  <si>
    <t>Nº de IDOC</t>
  </si>
  <si>
    <t>Mismo valor registro de control respectivo.</t>
  </si>
  <si>
    <t>SEGNUM</t>
  </si>
  <si>
    <t>Nº segmento</t>
  </si>
  <si>
    <t>Nº secuencial que indica el nº de registro dentro de un mismo IDOC (inclusive la cabecera) con ceros a la izquierda.</t>
  </si>
  <si>
    <t>PSGNUM</t>
  </si>
  <si>
    <t>Numero de segmento superior</t>
  </si>
  <si>
    <t>Valor fijo ‘000001’</t>
  </si>
  <si>
    <t>HLEVEL</t>
  </si>
  <si>
    <t>Nivel de jerarquía</t>
  </si>
  <si>
    <t>Valor fijo ‘02’</t>
  </si>
  <si>
    <t xml:space="preserve">STYPE  </t>
  </si>
  <si>
    <t xml:space="preserve">Tipo de registro para la interfase batch input </t>
  </si>
  <si>
    <t>TBNAM</t>
  </si>
  <si>
    <t>Nombre de la tabla</t>
  </si>
  <si>
    <t>Valor: ZBSEG</t>
  </si>
  <si>
    <t>BSCHL</t>
  </si>
  <si>
    <t>Clave de contabilización.</t>
  </si>
  <si>
    <t>Lo que venga en NEWBS</t>
  </si>
  <si>
    <t>UMSKZ</t>
  </si>
  <si>
    <t>Indicador de cta. mayor especial (CME) para la posición.</t>
  </si>
  <si>
    <t>/</t>
  </si>
  <si>
    <t xml:space="preserve">WRBTR      </t>
  </si>
  <si>
    <t xml:space="preserve">Importe en la moneda del documento </t>
  </si>
  <si>
    <t>Lo que venga</t>
  </si>
  <si>
    <t>FWBAS</t>
  </si>
  <si>
    <t>Importe de la base imponible</t>
  </si>
  <si>
    <t>Si viene informada lo que venga en caso contrario /</t>
  </si>
  <si>
    <t xml:space="preserve">WMWST     </t>
  </si>
  <si>
    <t>Importe de impuesto en moneda documento</t>
  </si>
  <si>
    <t xml:space="preserve">MWSKZ     </t>
  </si>
  <si>
    <t>Indicador del impuesto sobre el volumen negocios</t>
  </si>
  <si>
    <t xml:space="preserve">GSBER     </t>
  </si>
  <si>
    <t>División</t>
  </si>
  <si>
    <t xml:space="preserve">KOSTL      </t>
  </si>
  <si>
    <t>/  Si se trata de una posición de IVA (FWBAS informado) la longitud del campo ha de ser CHAR 3</t>
  </si>
  <si>
    <t>AUFNR</t>
  </si>
  <si>
    <t>Orden</t>
  </si>
  <si>
    <t>MENGE</t>
  </si>
  <si>
    <t>Cantidad</t>
  </si>
  <si>
    <t>MEINS</t>
  </si>
  <si>
    <t>UNIT</t>
  </si>
  <si>
    <t>Unidad de medida base</t>
  </si>
  <si>
    <t xml:space="preserve">ZFBDT      </t>
  </si>
  <si>
    <t>Fecha base / vencimiento factura</t>
  </si>
  <si>
    <t>VALUT</t>
  </si>
  <si>
    <t>Fecha valor</t>
  </si>
  <si>
    <t xml:space="preserve">Si viene informada lo que venga en caso contrario / </t>
  </si>
  <si>
    <t xml:space="preserve">ZUONR     </t>
  </si>
  <si>
    <t>Número de asignación</t>
  </si>
  <si>
    <t xml:space="preserve">SGTXT      </t>
  </si>
  <si>
    <t>Texto de posición</t>
  </si>
  <si>
    <t xml:space="preserve">ZTERM     </t>
  </si>
  <si>
    <t>Clave de condiciones de pago</t>
  </si>
  <si>
    <t xml:space="preserve">ZLSPR      </t>
  </si>
  <si>
    <t>Clave para bloqueo de pago</t>
  </si>
  <si>
    <t>REBZG</t>
  </si>
  <si>
    <t>Número documento de factura a la que pertenece la operación</t>
  </si>
  <si>
    <t>REBZJ</t>
  </si>
  <si>
    <t>Ejercicio de la factura correspondiente (para abonos)</t>
  </si>
  <si>
    <t xml:space="preserve">ZLSCH     </t>
  </si>
  <si>
    <t>Vía de pago</t>
  </si>
  <si>
    <t>QSSKZ</t>
  </si>
  <si>
    <t>Indicador retención IRPF</t>
  </si>
  <si>
    <t>FDLEV</t>
  </si>
  <si>
    <t>Nivel de tesorería</t>
  </si>
  <si>
    <t>HBKID</t>
  </si>
  <si>
    <t>Clave breve para banco propio</t>
  </si>
  <si>
    <t>LZBKZ</t>
  </si>
  <si>
    <t>Indicador BCR</t>
  </si>
  <si>
    <t xml:space="preserve">LANDL </t>
  </si>
  <si>
    <t>País proveedor</t>
  </si>
  <si>
    <t>Si campo LZBKZ está informado valor fijo “ES” en caso contrario /.</t>
  </si>
  <si>
    <t>HZUON</t>
  </si>
  <si>
    <t>Asignación CME</t>
  </si>
  <si>
    <t xml:space="preserve">NAME1 </t>
  </si>
  <si>
    <t>Nombre 1</t>
  </si>
  <si>
    <t xml:space="preserve">NAME2 </t>
  </si>
  <si>
    <t>Nombre 2</t>
  </si>
  <si>
    <t xml:space="preserve">NAME3 </t>
  </si>
  <si>
    <t>Nombre 3</t>
  </si>
  <si>
    <t xml:space="preserve">NAME4 </t>
  </si>
  <si>
    <t>Nombre 4</t>
  </si>
  <si>
    <t xml:space="preserve">STRAS </t>
  </si>
  <si>
    <t>Calle y nº</t>
  </si>
  <si>
    <t xml:space="preserve">ORT01 </t>
  </si>
  <si>
    <t>Población</t>
  </si>
  <si>
    <t xml:space="preserve">PSTLZ </t>
  </si>
  <si>
    <t>Código postal</t>
  </si>
  <si>
    <t xml:space="preserve">LAND1 </t>
  </si>
  <si>
    <t>Clave de país</t>
  </si>
  <si>
    <t xml:space="preserve">REGIO </t>
  </si>
  <si>
    <t>Región (provincia)</t>
  </si>
  <si>
    <t xml:space="preserve">STCD1  </t>
  </si>
  <si>
    <t xml:space="preserve">Número de identificación fiscal </t>
  </si>
  <si>
    <t xml:space="preserve">SPRAS  </t>
  </si>
  <si>
    <t>Clave de idioma</t>
  </si>
  <si>
    <t xml:space="preserve">NEWKO      </t>
  </si>
  <si>
    <t>Cuenta o matchcode para la siguiente posición</t>
  </si>
  <si>
    <t xml:space="preserve">HKONT      </t>
  </si>
  <si>
    <t>Cta.mayor de la contab. Principal (cta.asociada)</t>
  </si>
  <si>
    <t>Si campo FWBAS informado  poner la información del campo CUENTA</t>
  </si>
  <si>
    <t>PRCTR</t>
  </si>
  <si>
    <t>Centro de Beneficio</t>
  </si>
  <si>
    <t>Siempre poner la información del campo CEBE</t>
  </si>
  <si>
    <t>PROJK</t>
  </si>
  <si>
    <t>Elemento PEP</t>
  </si>
  <si>
    <t>XREF1</t>
  </si>
  <si>
    <t>Clave de Referencia 1</t>
  </si>
  <si>
    <t>XREF2</t>
  </si>
  <si>
    <t>Clave de Referencia 2</t>
  </si>
  <si>
    <t>RKE_BUKRS</t>
  </si>
  <si>
    <t>Sociedad FI</t>
  </si>
  <si>
    <t>Si cuenta Grupo 6 o 7, información  del campo BUKRS</t>
  </si>
  <si>
    <t>Resto: /</t>
  </si>
  <si>
    <t>RKE_WWD01</t>
  </si>
  <si>
    <t>Actividad</t>
  </si>
  <si>
    <t>VBUND</t>
  </si>
  <si>
    <t>Sociedad GL Asociada</t>
  </si>
  <si>
    <t>XNEGP</t>
  </si>
  <si>
    <t>Contabilización negativa</t>
  </si>
  <si>
    <t xml:space="preserve">STKZN  </t>
  </si>
  <si>
    <t>Indicador: ¿el interlocutor comercial es una persona física?</t>
  </si>
  <si>
    <t>XREF3</t>
  </si>
  <si>
    <t>Clave de Referencia 3</t>
  </si>
  <si>
    <t>Si campo FWBAS informado poner la información del campo CEBE, en caso contrario dejar en blanco</t>
  </si>
  <si>
    <t>BEWARD</t>
  </si>
  <si>
    <t>Clase de movimiento</t>
  </si>
  <si>
    <t xml:space="preserve">SENDE  </t>
  </si>
  <si>
    <t>Indicador de fin de registro para interfase batch input</t>
  </si>
  <si>
    <t>Secuencial OBLIGATORIO</t>
  </si>
  <si>
    <t>Blancos</t>
  </si>
  <si>
    <t>CEROS</t>
  </si>
  <si>
    <t>IMPORTE OBLIGATORIO</t>
  </si>
  <si>
    <t>SI hay valor colocar. Si no dejar en blanco</t>
  </si>
  <si>
    <t>OBLIGATORIO</t>
  </si>
  <si>
    <t>FECHA DDMMAAA</t>
  </si>
  <si>
    <t>Comentarios/poliza/referencia que identiquen</t>
  </si>
  <si>
    <t>DEUDOR GENERICO</t>
  </si>
  <si>
    <t>cuenta contable</t>
  </si>
  <si>
    <t>CENTRO DE BENEFICIO ACUACIS</t>
  </si>
  <si>
    <t>Nom.campo</t>
  </si>
  <si>
    <t>Tipo</t>
  </si>
  <si>
    <t>Lng.</t>
  </si>
  <si>
    <t>Descripción</t>
  </si>
  <si>
    <t>Valores</t>
  </si>
  <si>
    <t>Z2I_SEG_CAB_DOC_FI_CRISOL000</t>
  </si>
  <si>
    <t>Valor fijo ‘000000’</t>
  </si>
  <si>
    <t>Valor fijo ‘01’</t>
  </si>
  <si>
    <t xml:space="preserve">Tipo de registro para la interfase batch input            </t>
  </si>
  <si>
    <t xml:space="preserve">TCODE  </t>
  </si>
  <si>
    <t xml:space="preserve">Código de transacción                                     </t>
  </si>
  <si>
    <t>FBV1</t>
  </si>
  <si>
    <t xml:space="preserve">BLDAT  </t>
  </si>
  <si>
    <t>Fecha Documento</t>
  </si>
  <si>
    <t>Lo que venga. Si no informado /</t>
  </si>
  <si>
    <t xml:space="preserve">BLART  </t>
  </si>
  <si>
    <t xml:space="preserve">Clase de documento                                        </t>
  </si>
  <si>
    <t xml:space="preserve">BUKRS  </t>
  </si>
  <si>
    <t xml:space="preserve">Sociedad                                                  </t>
  </si>
  <si>
    <t xml:space="preserve">BUDAT  </t>
  </si>
  <si>
    <t>Fecha Contable</t>
  </si>
  <si>
    <t xml:space="preserve">MONAT  </t>
  </si>
  <si>
    <t xml:space="preserve">Periodo contable </t>
  </si>
  <si>
    <t xml:space="preserve">WAERS  </t>
  </si>
  <si>
    <t>CUKY</t>
  </si>
  <si>
    <t xml:space="preserve">Clave de moneda                                           </t>
  </si>
  <si>
    <t>EUR</t>
  </si>
  <si>
    <t xml:space="preserve">KURSF  </t>
  </si>
  <si>
    <t xml:space="preserve">Tipo de cambio (campo batch input)                        </t>
  </si>
  <si>
    <t xml:space="preserve">BELNR  </t>
  </si>
  <si>
    <t xml:space="preserve">Número de un documento contable                           </t>
  </si>
  <si>
    <t xml:space="preserve">WWERT  </t>
  </si>
  <si>
    <t xml:space="preserve">Fecha (Batch-input)                                       </t>
  </si>
  <si>
    <t xml:space="preserve">XBLNR  </t>
  </si>
  <si>
    <t xml:space="preserve">Número de documento de referencia                         </t>
  </si>
  <si>
    <t xml:space="preserve">BVORG  </t>
  </si>
  <si>
    <t xml:space="preserve">Número de operación contabilización multisociedades       </t>
  </si>
  <si>
    <t xml:space="preserve">BKTXT  </t>
  </si>
  <si>
    <t xml:space="preserve">Texto de cabecera de documento                            </t>
  </si>
  <si>
    <t xml:space="preserve">PARGB  </t>
  </si>
  <si>
    <t xml:space="preserve">División de la empresa partner                            </t>
  </si>
  <si>
    <t>AUGLV</t>
  </si>
  <si>
    <t xml:space="preserve">Operación de compensación                                 </t>
  </si>
  <si>
    <t xml:space="preserve">VBUND </t>
  </si>
  <si>
    <t xml:space="preserve">Número de la sociedad GL asociada                           </t>
  </si>
  <si>
    <t xml:space="preserve">XMWST </t>
  </si>
  <si>
    <t xml:space="preserve">Indicador: ¿ Impuesto sin calcular ?                        </t>
  </si>
  <si>
    <t xml:space="preserve">DOCID </t>
  </si>
  <si>
    <t xml:space="preserve">SAP ArchiveLink: Clase del documento archivado              </t>
  </si>
  <si>
    <t xml:space="preserve">BARCD </t>
  </si>
  <si>
    <t xml:space="preserve">SAP ArchiveLink: ID del documento de archivo                </t>
  </si>
  <si>
    <t xml:space="preserve">STODT </t>
  </si>
  <si>
    <t xml:space="preserve">Fecha (Batch-input)                                         </t>
  </si>
  <si>
    <t xml:space="preserve">BRNCH </t>
  </si>
  <si>
    <t xml:space="preserve">Número de sucursal                                          </t>
  </si>
  <si>
    <t>Explotación contable origen: cuatro primeros dígitos del Centro de Beneficio (CEBE) asociado a la Oficina desde donde se realizan los procesos comerciales.</t>
  </si>
  <si>
    <t xml:space="preserve">NUMPG </t>
  </si>
  <si>
    <t xml:space="preserve">Number of pages of invoice (batch input field)              </t>
  </si>
  <si>
    <t>STGRD</t>
  </si>
  <si>
    <t>Motivo de anulación o contabilización inversa</t>
  </si>
  <si>
    <t>KURSF_M</t>
  </si>
  <si>
    <t>Cotización indirecta (campo batch input)</t>
  </si>
  <si>
    <t>AUGTX</t>
  </si>
  <si>
    <t>Texto de compensación</t>
  </si>
  <si>
    <t>XPRFG</t>
  </si>
  <si>
    <t>Documento completo</t>
  </si>
  <si>
    <t xml:space="preserve">SENDE </t>
  </si>
  <si>
    <t xml:space="preserve">Indicador de fin de registro para interfase batch input     </t>
  </si>
  <si>
    <t>NUMERICO</t>
  </si>
  <si>
    <t>TIPO DE ASIENTO</t>
  </si>
  <si>
    <t>FORMATO DDMMAAAA</t>
  </si>
  <si>
    <t>MES</t>
  </si>
  <si>
    <t>MONEDA</t>
  </si>
  <si>
    <t>OBLIGATORIO 1000</t>
  </si>
  <si>
    <t>N° Asiento</t>
  </si>
  <si>
    <t>Long.</t>
  </si>
  <si>
    <t xml:space="preserve">TABNAM  </t>
  </si>
  <si>
    <t xml:space="preserve">Identificador </t>
  </si>
  <si>
    <t>EDI_DC40</t>
  </si>
  <si>
    <t>Nº secuencial por cada IDOC diferente, con ceros a la izquierda</t>
  </si>
  <si>
    <t>ESPACIOS_1</t>
  </si>
  <si>
    <t>Espacios en blanco</t>
  </si>
  <si>
    <t>En blanco</t>
  </si>
  <si>
    <t>IDOCTYP</t>
  </si>
  <si>
    <t>Tipo IDOC</t>
  </si>
  <si>
    <t>ZTI_IDOC_OUTPUT_DOC_FICA. Alineado a la izquierda</t>
  </si>
  <si>
    <t>CIMTYP</t>
  </si>
  <si>
    <t>MESTYP</t>
  </si>
  <si>
    <t>Tipo mensaje</t>
  </si>
  <si>
    <t>ZTI_CRISOL_SEND_DOCUMENT</t>
  </si>
  <si>
    <t>Alineado a la izquierda</t>
  </si>
  <si>
    <t>ESPACIOS_2</t>
  </si>
  <si>
    <t>STDMES</t>
  </si>
  <si>
    <t>Tipo mensaje EDI</t>
  </si>
  <si>
    <t>ZTI_CR</t>
  </si>
  <si>
    <t>SNDPOR</t>
  </si>
  <si>
    <t>Puerta del remitente</t>
  </si>
  <si>
    <t>Valor fijo ‘SAPSCP’. Alineado a la izquierda</t>
  </si>
  <si>
    <t>SNDPRT</t>
  </si>
  <si>
    <t>Tipo de interlocutor EDI</t>
  </si>
  <si>
    <t>Valor fijo ‘LS’</t>
  </si>
  <si>
    <t>SNDPFC</t>
  </si>
  <si>
    <t>SNDPRN</t>
  </si>
  <si>
    <t>Nº interlocutor EDI del remitente</t>
  </si>
  <si>
    <t xml:space="preserve">Valor fijo ‘OCCAMCRI’. Alineado a la izquierda </t>
  </si>
  <si>
    <t>SNDSAD</t>
  </si>
  <si>
    <t>SNDLAD</t>
  </si>
  <si>
    <t>RCVPOR</t>
  </si>
  <si>
    <t>Puerta destin.</t>
  </si>
  <si>
    <t>A000000002</t>
  </si>
  <si>
    <t>RCVPRT</t>
  </si>
  <si>
    <t>Tipo de interlocutor EDI destinat.</t>
  </si>
  <si>
    <t>RCVPFC</t>
  </si>
  <si>
    <t>RCVPRN</t>
  </si>
  <si>
    <t>Nº interlocutor EDI destinatario</t>
  </si>
  <si>
    <t xml:space="preserve">Valor fijo ‘SICCRI01’. Alineado a la izquierda </t>
  </si>
  <si>
    <t>RCVSAD</t>
  </si>
  <si>
    <t>RCVLAD</t>
  </si>
  <si>
    <t>CREDAT</t>
  </si>
  <si>
    <t>Fecha creación del registro</t>
  </si>
  <si>
    <t>AAAMMDD</t>
  </si>
  <si>
    <t>CRETIM</t>
  </si>
  <si>
    <t>Hora creación del registro</t>
  </si>
  <si>
    <t>HHMMSS</t>
  </si>
  <si>
    <t>ESPACIOS_3</t>
  </si>
  <si>
    <t>SERIAL</t>
  </si>
  <si>
    <t xml:space="preserve">Campo de numeración progresiva </t>
  </si>
  <si>
    <r>
      <t>Fecha envío del registro:</t>
    </r>
    <r>
      <rPr>
        <sz val="10"/>
        <color theme="1"/>
        <rFont val="Times New Roman"/>
        <family val="1"/>
      </rPr>
      <t xml:space="preserve"> AAAMMDDHHMMSS</t>
    </r>
  </si>
  <si>
    <t>actividad</t>
  </si>
  <si>
    <t>tasa 16 o 0</t>
  </si>
  <si>
    <t>Id Asiento?</t>
  </si>
  <si>
    <t>Fecha Asiento</t>
  </si>
  <si>
    <t>Fijo 1000</t>
  </si>
  <si>
    <t>Tipo Asiento</t>
  </si>
  <si>
    <t>3,4,6,7,8,9,10,12,13,23,24</t>
  </si>
  <si>
    <t>De la fecha extraeriamos el mes, por ejemplo Ener 01 Dic 12</t>
  </si>
  <si>
    <t>000</t>
  </si>
  <si>
    <t>no de Asiento</t>
  </si>
  <si>
    <t>ok</t>
  </si>
  <si>
    <t>CEBE</t>
  </si>
  <si>
    <t>Duda/Envío</t>
  </si>
  <si>
    <t>La de Aquacis o la Mapeada de la Consulta 47. Tengo duda, al llenado del txt revisamos que información viene.</t>
  </si>
  <si>
    <t>Monto entero con decimales y signo</t>
  </si>
  <si>
    <t>Referencia cortada que mandamos hacia SA7 256</t>
  </si>
  <si>
    <t>mando EUR? '  MXN' ?</t>
  </si>
  <si>
    <t>ApnOrden</t>
  </si>
  <si>
    <t xml:space="preserve"> </t>
  </si>
  <si>
    <t>10   (3) Centro de coste</t>
  </si>
  <si>
    <t>referencia parte 1</t>
  </si>
  <si>
    <t>Referencia parte 2</t>
  </si>
  <si>
    <t>Referencia parte 3</t>
  </si>
  <si>
    <t>Referencia parte 4</t>
  </si>
  <si>
    <t>Consecutivo</t>
  </si>
  <si>
    <t>ID Asiento</t>
  </si>
  <si>
    <t>Final</t>
  </si>
  <si>
    <t>Inical</t>
  </si>
  <si>
    <t>Posición de IVA (FWBAS informado): Z2I_SEG_POSDOCFI_IVA_CRISOL000 Posición normal (resto de casos): Z2I_SEG_POS_DOC_FI_CRISOL000</t>
  </si>
  <si>
    <t>INICIAR DE 1</t>
  </si>
  <si>
    <t>2</t>
  </si>
  <si>
    <t>Ceros a la izquierda</t>
  </si>
  <si>
    <t>Si campo FWBAS informado dejarlo en blanco en caso contrario poner la información campo CUENTA .Completar con dos ceros a la izquierda y ajustar a la izquierda</t>
  </si>
  <si>
    <t>Imputación a PA (actividad), si cuentas de grupos 6 y 7. Información campo WWD01 Resto: /</t>
  </si>
  <si>
    <t>Agregar CAMPOS 50 40 01 12</t>
  </si>
  <si>
    <t xml:space="preserve"> Cuando sea 50 o 40</t>
  </si>
  <si>
    <t>Cuando sea del 01 al 39</t>
  </si>
  <si>
    <t>Cuando sea 01 al 39 poner "GENERICO"</t>
  </si>
  <si>
    <t>Cuando sea del 01 al 39 poner cuenta contable</t>
  </si>
  <si>
    <t xml:space="preserve"> Cuando sea 50 o 40 poner cuenta contable</t>
  </si>
  <si>
    <t>PROYECTO1234ACUACISVSSAP</t>
  </si>
  <si>
    <t>Acua_SAP</t>
  </si>
  <si>
    <t>Interfaz_AcuaCis_SAP_Cabecera</t>
  </si>
  <si>
    <r>
      <t>Interfaz_AcuaCis_SAP_</t>
    </r>
    <r>
      <rPr>
        <sz val="11"/>
        <color rgb="FF000000"/>
        <rFont val="Inherit"/>
      </rPr>
      <t>Posicion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</si>
</sst>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Arial"/>
      <family val="2"/>
    </font>
    <font>
      <sz val="9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Inherit"/>
    </font>
  </fonts>
  <fills count="12">
    <fill>
      <patternFill patternType="none"/>
    </fill>
    <fill>
      <patternFill patternType="gray125"/>
    </fill>
    <fill>
      <patternFill patternType="gray125">
        <bgColor rgb="FFDFDFDF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1" fillId="0" borderId="5" xfId="0" applyFont="1" applyBorder="1" applyAlignment="1">
      <alignment horizontal="justify" vertical="center" wrapText="1"/>
    </xf>
    <xf numFmtId="0" fontId="3" fillId="3" borderId="3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vertical="center" wrapText="1"/>
    </xf>
    <xf numFmtId="0" fontId="0" fillId="3" borderId="0" xfId="0" applyFill="1" applyAlignment="1">
      <alignment wrapText="1"/>
    </xf>
    <xf numFmtId="0" fontId="3" fillId="4" borderId="3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vertical="center" wrapText="1"/>
    </xf>
    <xf numFmtId="0" fontId="0" fillId="4" borderId="0" xfId="0" applyFill="1" applyAlignment="1">
      <alignment wrapText="1"/>
    </xf>
    <xf numFmtId="0" fontId="1" fillId="3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justify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horizontal="justify" vertical="center" wrapText="1"/>
    </xf>
    <xf numFmtId="0" fontId="0" fillId="5" borderId="0" xfId="0" applyFill="1" applyAlignment="1">
      <alignment wrapText="1"/>
    </xf>
    <xf numFmtId="0" fontId="0" fillId="4" borderId="8" xfId="0" applyFill="1" applyBorder="1" applyAlignment="1">
      <alignment vertical="center"/>
    </xf>
    <xf numFmtId="0" fontId="0" fillId="4" borderId="0" xfId="0" applyFill="1"/>
    <xf numFmtId="0" fontId="2" fillId="4" borderId="3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vertical="center" wrapText="1"/>
    </xf>
    <xf numFmtId="0" fontId="0" fillId="0" borderId="0" xfId="0" quotePrefix="1"/>
    <xf numFmtId="0" fontId="0" fillId="6" borderId="0" xfId="0" applyFill="1" applyAlignment="1">
      <alignment wrapText="1"/>
    </xf>
    <xf numFmtId="0" fontId="7" fillId="5" borderId="0" xfId="0" applyFont="1" applyFill="1"/>
    <xf numFmtId="0" fontId="0" fillId="7" borderId="0" xfId="0" applyFill="1" applyAlignment="1">
      <alignment wrapText="1"/>
    </xf>
    <xf numFmtId="0" fontId="0" fillId="7" borderId="0" xfId="0" applyFill="1"/>
    <xf numFmtId="0" fontId="0" fillId="7" borderId="8" xfId="0" applyFill="1" applyBorder="1" applyAlignment="1">
      <alignment vertical="center"/>
    </xf>
    <xf numFmtId="0" fontId="0" fillId="8" borderId="0" xfId="0" applyFill="1" applyAlignment="1">
      <alignment wrapText="1"/>
    </xf>
    <xf numFmtId="0" fontId="3" fillId="7" borderId="3" xfId="0" applyFont="1" applyFill="1" applyBorder="1" applyAlignment="1">
      <alignment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2" fillId="7" borderId="3" xfId="0" applyFont="1" applyFill="1" applyBorder="1" applyAlignment="1">
      <alignment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vertical="center" wrapText="1"/>
    </xf>
    <xf numFmtId="0" fontId="0" fillId="9" borderId="0" xfId="0" applyFill="1"/>
    <xf numFmtId="0" fontId="0" fillId="9" borderId="0" xfId="0" applyFill="1" applyAlignment="1">
      <alignment wrapText="1"/>
    </xf>
    <xf numFmtId="0" fontId="0" fillId="0" borderId="0" xfId="0" applyFill="1"/>
    <xf numFmtId="0" fontId="4" fillId="0" borderId="5" xfId="0" applyFont="1" applyFill="1" applyBorder="1" applyAlignment="1">
      <alignment horizontal="center" vertical="center" wrapText="1"/>
    </xf>
    <xf numFmtId="0" fontId="1" fillId="0" borderId="5" xfId="0" quotePrefix="1" applyFont="1" applyBorder="1" applyAlignment="1">
      <alignment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0" fillId="10" borderId="0" xfId="0" applyFill="1"/>
    <xf numFmtId="0" fontId="2" fillId="10" borderId="7" xfId="0" applyFont="1" applyFill="1" applyBorder="1" applyAlignment="1">
      <alignment vertical="center" wrapText="1"/>
    </xf>
    <xf numFmtId="0" fontId="1" fillId="10" borderId="7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vertical="center" wrapText="1"/>
    </xf>
    <xf numFmtId="0" fontId="2" fillId="10" borderId="3" xfId="0" applyFont="1" applyFill="1" applyBorder="1" applyAlignment="1">
      <alignment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vertical="center" wrapText="1"/>
    </xf>
    <xf numFmtId="0" fontId="1" fillId="10" borderId="7" xfId="0" applyFont="1" applyFill="1" applyBorder="1" applyAlignment="1">
      <alignment vertical="center" wrapText="1"/>
    </xf>
    <xf numFmtId="0" fontId="1" fillId="10" borderId="6" xfId="0" applyFont="1" applyFill="1" applyBorder="1" applyAlignment="1">
      <alignment vertical="center" wrapText="1"/>
    </xf>
    <xf numFmtId="0" fontId="0" fillId="10" borderId="0" xfId="0" applyFill="1" applyAlignment="1">
      <alignment wrapText="1"/>
    </xf>
    <xf numFmtId="0" fontId="0" fillId="10" borderId="0" xfId="0" quotePrefix="1" applyFill="1" applyAlignment="1">
      <alignment wrapText="1"/>
    </xf>
    <xf numFmtId="0" fontId="4" fillId="10" borderId="5" xfId="0" applyFont="1" applyFill="1" applyBorder="1" applyAlignment="1">
      <alignment vertical="center" wrapText="1"/>
    </xf>
    <xf numFmtId="0" fontId="3" fillId="10" borderId="3" xfId="0" applyFont="1" applyFill="1" applyBorder="1" applyAlignment="1">
      <alignment vertical="center" wrapText="1"/>
    </xf>
    <xf numFmtId="0" fontId="3" fillId="10" borderId="7" xfId="0" applyFont="1" applyFill="1" applyBorder="1" applyAlignment="1">
      <alignment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0" fillId="10" borderId="8" xfId="0" applyFill="1" applyBorder="1" applyAlignment="1">
      <alignment vertical="center"/>
    </xf>
    <xf numFmtId="0" fontId="8" fillId="0" borderId="0" xfId="0" applyFont="1"/>
    <xf numFmtId="0" fontId="0" fillId="11" borderId="0" xfId="0" applyFill="1"/>
    <xf numFmtId="0" fontId="2" fillId="11" borderId="1" xfId="0" applyFont="1" applyFill="1" applyBorder="1" applyAlignment="1">
      <alignment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vertical="center" wrapText="1"/>
    </xf>
    <xf numFmtId="0" fontId="0" fillId="11" borderId="0" xfId="0" applyFill="1" applyAlignment="1">
      <alignment wrapText="1"/>
    </xf>
    <xf numFmtId="0" fontId="0" fillId="6" borderId="0" xfId="0" quotePrefix="1" applyFill="1" applyAlignment="1">
      <alignment wrapText="1"/>
    </xf>
    <xf numFmtId="0" fontId="2" fillId="0" borderId="7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showGridLines="0" topLeftCell="A22" workbookViewId="0">
      <selection activeCell="B5" sqref="B5"/>
    </sheetView>
  </sheetViews>
  <sheetFormatPr baseColWidth="10" defaultRowHeight="15"/>
  <cols>
    <col min="1" max="1" width="3" customWidth="1"/>
    <col min="2" max="2" width="13.42578125" customWidth="1"/>
    <col min="3" max="3" width="6" bestFit="1" customWidth="1"/>
    <col min="4" max="4" width="5.42578125" bestFit="1" customWidth="1"/>
    <col min="5" max="5" width="26.85546875" bestFit="1" customWidth="1"/>
    <col min="6" max="6" width="34.42578125" bestFit="1" customWidth="1"/>
    <col min="7" max="7" width="13.140625" bestFit="1" customWidth="1"/>
  </cols>
  <sheetData>
    <row r="1" spans="2:8" ht="15.75" thickBot="1"/>
    <row r="2" spans="2:8" ht="15.75" thickBot="1">
      <c r="B2" s="16" t="s">
        <v>154</v>
      </c>
      <c r="C2" s="17" t="s">
        <v>155</v>
      </c>
      <c r="D2" s="17" t="s">
        <v>229</v>
      </c>
      <c r="E2" s="17" t="s">
        <v>157</v>
      </c>
      <c r="F2" s="17" t="s">
        <v>158</v>
      </c>
    </row>
    <row r="3" spans="2:8" ht="16.5" thickBot="1">
      <c r="B3" s="6" t="s">
        <v>230</v>
      </c>
      <c r="C3" s="7" t="s">
        <v>6</v>
      </c>
      <c r="D3" s="7">
        <v>10</v>
      </c>
      <c r="E3" s="5" t="s">
        <v>231</v>
      </c>
      <c r="F3" s="18" t="s">
        <v>232</v>
      </c>
      <c r="G3" s="77" t="s">
        <v>323</v>
      </c>
    </row>
    <row r="4" spans="2:8" ht="15.75" thickBot="1">
      <c r="B4" s="6" t="s">
        <v>8</v>
      </c>
      <c r="C4" s="7" t="s">
        <v>6</v>
      </c>
      <c r="D4" s="7">
        <v>3</v>
      </c>
      <c r="E4" s="8" t="s">
        <v>9</v>
      </c>
      <c r="F4" s="8" t="s">
        <v>10</v>
      </c>
    </row>
    <row r="5" spans="2:8" ht="30.75" thickBot="1">
      <c r="B5" s="23" t="s">
        <v>11</v>
      </c>
      <c r="C5" s="24" t="s">
        <v>6</v>
      </c>
      <c r="D5" s="24">
        <v>16</v>
      </c>
      <c r="E5" s="25" t="s">
        <v>13</v>
      </c>
      <c r="F5" s="25" t="s">
        <v>233</v>
      </c>
      <c r="G5" s="56" t="s">
        <v>143</v>
      </c>
      <c r="H5" t="s">
        <v>284</v>
      </c>
    </row>
    <row r="6" spans="2:8" ht="15.75" thickBot="1">
      <c r="B6" s="9" t="s">
        <v>234</v>
      </c>
      <c r="C6" s="7" t="s">
        <v>6</v>
      </c>
      <c r="D6" s="7">
        <v>10</v>
      </c>
      <c r="E6" s="8" t="s">
        <v>235</v>
      </c>
      <c r="F6" s="5" t="s">
        <v>236</v>
      </c>
    </row>
    <row r="7" spans="2:8" ht="26.25" thickBot="1">
      <c r="B7" s="9" t="s">
        <v>237</v>
      </c>
      <c r="C7" s="7" t="s">
        <v>6</v>
      </c>
      <c r="D7" s="7">
        <v>30</v>
      </c>
      <c r="E7" s="5" t="s">
        <v>238</v>
      </c>
      <c r="F7" s="5" t="s">
        <v>239</v>
      </c>
    </row>
    <row r="8" spans="2:8" ht="15.75" thickBot="1">
      <c r="B8" s="9" t="s">
        <v>240</v>
      </c>
      <c r="C8" s="7" t="s">
        <v>6</v>
      </c>
      <c r="D8" s="7">
        <v>30</v>
      </c>
      <c r="E8" s="8"/>
      <c r="F8" s="5" t="s">
        <v>236</v>
      </c>
    </row>
    <row r="9" spans="2:8">
      <c r="B9" s="85" t="s">
        <v>241</v>
      </c>
      <c r="C9" s="87" t="s">
        <v>6</v>
      </c>
      <c r="D9" s="87">
        <v>30</v>
      </c>
      <c r="E9" s="89" t="s">
        <v>242</v>
      </c>
      <c r="F9" s="4" t="s">
        <v>243</v>
      </c>
    </row>
    <row r="10" spans="2:8" ht="15.75" thickBot="1">
      <c r="B10" s="86"/>
      <c r="C10" s="88"/>
      <c r="D10" s="88"/>
      <c r="E10" s="90"/>
      <c r="F10" s="5" t="s">
        <v>244</v>
      </c>
    </row>
    <row r="11" spans="2:8" ht="15.75" thickBot="1">
      <c r="B11" s="9" t="s">
        <v>245</v>
      </c>
      <c r="C11" s="7" t="s">
        <v>6</v>
      </c>
      <c r="D11" s="7">
        <v>13</v>
      </c>
      <c r="E11" s="8" t="s">
        <v>235</v>
      </c>
      <c r="F11" s="5" t="s">
        <v>236</v>
      </c>
    </row>
    <row r="12" spans="2:8" ht="15.75" thickBot="1">
      <c r="B12" s="9" t="s">
        <v>246</v>
      </c>
      <c r="C12" s="7" t="s">
        <v>6</v>
      </c>
      <c r="D12" s="7">
        <v>6</v>
      </c>
      <c r="E12" s="8" t="s">
        <v>247</v>
      </c>
      <c r="F12" s="5" t="s">
        <v>248</v>
      </c>
    </row>
    <row r="13" spans="2:8" ht="26.25" thickBot="1">
      <c r="B13" s="9" t="s">
        <v>249</v>
      </c>
      <c r="C13" s="7" t="s">
        <v>6</v>
      </c>
      <c r="D13" s="7">
        <v>10</v>
      </c>
      <c r="E13" s="8" t="s">
        <v>250</v>
      </c>
      <c r="F13" s="5" t="s">
        <v>251</v>
      </c>
    </row>
    <row r="14" spans="2:8" ht="15.75" thickBot="1">
      <c r="B14" s="9" t="s">
        <v>252</v>
      </c>
      <c r="C14" s="7" t="s">
        <v>6</v>
      </c>
      <c r="D14" s="7">
        <v>2</v>
      </c>
      <c r="E14" s="8" t="s">
        <v>253</v>
      </c>
      <c r="F14" s="5" t="s">
        <v>254</v>
      </c>
    </row>
    <row r="15" spans="2:8" ht="15.75" thickBot="1">
      <c r="B15" s="9" t="s">
        <v>255</v>
      </c>
      <c r="C15" s="7" t="s">
        <v>6</v>
      </c>
      <c r="D15" s="7">
        <v>2</v>
      </c>
      <c r="E15" s="8"/>
      <c r="F15" s="8" t="s">
        <v>236</v>
      </c>
    </row>
    <row r="16" spans="2:8" ht="26.25" thickBot="1">
      <c r="B16" s="9" t="s">
        <v>256</v>
      </c>
      <c r="C16" s="7" t="s">
        <v>6</v>
      </c>
      <c r="D16" s="7">
        <v>10</v>
      </c>
      <c r="E16" s="8" t="s">
        <v>257</v>
      </c>
      <c r="F16" s="5" t="s">
        <v>258</v>
      </c>
    </row>
    <row r="17" spans="2:6" ht="15.75" thickBot="1">
      <c r="B17" s="9" t="s">
        <v>259</v>
      </c>
      <c r="C17" s="7" t="s">
        <v>6</v>
      </c>
      <c r="D17" s="47">
        <v>21</v>
      </c>
      <c r="E17" s="8"/>
      <c r="F17" s="5" t="s">
        <v>236</v>
      </c>
    </row>
    <row r="18" spans="2:6" ht="15.75" thickBot="1">
      <c r="B18" s="9" t="s">
        <v>260</v>
      </c>
      <c r="C18" s="7" t="s">
        <v>6</v>
      </c>
      <c r="D18" s="47">
        <v>70</v>
      </c>
      <c r="E18" s="8"/>
      <c r="F18" s="5" t="s">
        <v>236</v>
      </c>
    </row>
    <row r="19" spans="2:6" ht="15.75" thickBot="1">
      <c r="B19" s="9" t="s">
        <v>261</v>
      </c>
      <c r="C19" s="7" t="s">
        <v>6</v>
      </c>
      <c r="D19" s="47">
        <v>10</v>
      </c>
      <c r="E19" s="5" t="s">
        <v>262</v>
      </c>
      <c r="F19" s="5" t="s">
        <v>263</v>
      </c>
    </row>
    <row r="20" spans="2:6" ht="15.75" thickBot="1">
      <c r="B20" s="9" t="s">
        <v>264</v>
      </c>
      <c r="C20" s="7" t="s">
        <v>6</v>
      </c>
      <c r="D20" s="47">
        <v>2</v>
      </c>
      <c r="E20" s="8" t="s">
        <v>265</v>
      </c>
      <c r="F20" s="5" t="s">
        <v>254</v>
      </c>
    </row>
    <row r="21" spans="2:6" ht="15.75" thickBot="1">
      <c r="B21" s="9" t="s">
        <v>266</v>
      </c>
      <c r="C21" s="7" t="s">
        <v>6</v>
      </c>
      <c r="D21" s="47">
        <v>2</v>
      </c>
      <c r="E21" s="8"/>
      <c r="F21" s="8" t="s">
        <v>236</v>
      </c>
    </row>
    <row r="22" spans="2:6" ht="26.25" thickBot="1">
      <c r="B22" s="9" t="s">
        <v>267</v>
      </c>
      <c r="C22" s="7" t="s">
        <v>6</v>
      </c>
      <c r="D22" s="7">
        <v>10</v>
      </c>
      <c r="E22" s="8" t="s">
        <v>268</v>
      </c>
      <c r="F22" s="5" t="s">
        <v>269</v>
      </c>
    </row>
    <row r="23" spans="2:6" ht="15.75" thickBot="1">
      <c r="B23" s="9" t="s">
        <v>270</v>
      </c>
      <c r="C23" s="7" t="s">
        <v>6</v>
      </c>
      <c r="D23" s="7">
        <v>21</v>
      </c>
      <c r="E23" s="8"/>
      <c r="F23" s="5" t="s">
        <v>236</v>
      </c>
    </row>
    <row r="24" spans="2:6" ht="15.75" thickBot="1">
      <c r="B24" s="9" t="s">
        <v>271</v>
      </c>
      <c r="C24" s="7" t="s">
        <v>6</v>
      </c>
      <c r="D24" s="7">
        <v>70</v>
      </c>
      <c r="E24" s="8"/>
      <c r="F24" s="5" t="s">
        <v>236</v>
      </c>
    </row>
    <row r="25" spans="2:6" ht="15.75" thickBot="1">
      <c r="B25" s="9" t="s">
        <v>272</v>
      </c>
      <c r="C25" s="7" t="s">
        <v>6</v>
      </c>
      <c r="D25" s="7">
        <v>8</v>
      </c>
      <c r="E25" s="8" t="s">
        <v>273</v>
      </c>
      <c r="F25" s="5" t="s">
        <v>274</v>
      </c>
    </row>
    <row r="26" spans="2:6" ht="15.75" thickBot="1">
      <c r="B26" s="9" t="s">
        <v>275</v>
      </c>
      <c r="C26" s="7" t="s">
        <v>6</v>
      </c>
      <c r="D26" s="7">
        <v>6</v>
      </c>
      <c r="E26" s="8" t="s">
        <v>276</v>
      </c>
      <c r="F26" s="5" t="s">
        <v>277</v>
      </c>
    </row>
    <row r="27" spans="2:6" ht="15.75" thickBot="1">
      <c r="B27" s="9" t="s">
        <v>278</v>
      </c>
      <c r="C27" s="7" t="s">
        <v>6</v>
      </c>
      <c r="D27" s="7">
        <v>112</v>
      </c>
      <c r="E27" s="8" t="s">
        <v>235</v>
      </c>
      <c r="F27" s="5" t="s">
        <v>236</v>
      </c>
    </row>
    <row r="28" spans="2:6" ht="25.5">
      <c r="B28" s="85" t="s">
        <v>279</v>
      </c>
      <c r="C28" s="87" t="s">
        <v>6</v>
      </c>
      <c r="D28" s="87">
        <v>20</v>
      </c>
      <c r="E28" s="91" t="s">
        <v>280</v>
      </c>
      <c r="F28" s="3" t="s">
        <v>281</v>
      </c>
    </row>
    <row r="29" spans="2:6" ht="15.75" thickBot="1">
      <c r="B29" s="86"/>
      <c r="C29" s="88"/>
      <c r="D29" s="88"/>
      <c r="E29" s="92"/>
      <c r="F29" s="5" t="s">
        <v>244</v>
      </c>
    </row>
    <row r="30" spans="2:6">
      <c r="D30">
        <f>SUM(D3:D29)</f>
        <v>524</v>
      </c>
    </row>
  </sheetData>
  <mergeCells count="8">
    <mergeCell ref="B9:B10"/>
    <mergeCell ref="C9:C10"/>
    <mergeCell ref="D9:D10"/>
    <mergeCell ref="E9:E10"/>
    <mergeCell ref="B28:B29"/>
    <mergeCell ref="C28:C29"/>
    <mergeCell ref="D28:D29"/>
    <mergeCell ref="E28:E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37"/>
  <sheetViews>
    <sheetView showGridLines="0" workbookViewId="0">
      <selection activeCell="B12" sqref="B12"/>
    </sheetView>
  </sheetViews>
  <sheetFormatPr baseColWidth="10" defaultRowHeight="15"/>
  <cols>
    <col min="1" max="1" width="6.140625" customWidth="1"/>
    <col min="2" max="2" width="9.85546875" bestFit="1" customWidth="1"/>
    <col min="3" max="3" width="6" bestFit="1" customWidth="1"/>
    <col min="4" max="4" width="4.5703125" bestFit="1" customWidth="1"/>
    <col min="5" max="5" width="42.7109375" bestFit="1" customWidth="1"/>
    <col min="6" max="6" width="46.28515625" customWidth="1"/>
    <col min="7" max="7" width="18.5703125" style="15" bestFit="1" customWidth="1"/>
    <col min="8" max="8" width="19.42578125" customWidth="1"/>
  </cols>
  <sheetData>
    <row r="1" spans="2:9" ht="15.75" thickBot="1"/>
    <row r="2" spans="2:9" ht="15.75" thickBot="1">
      <c r="B2" s="16" t="s">
        <v>154</v>
      </c>
      <c r="C2" s="17" t="s">
        <v>155</v>
      </c>
      <c r="D2" s="17" t="s">
        <v>156</v>
      </c>
      <c r="E2" s="17" t="s">
        <v>157</v>
      </c>
      <c r="F2" s="17" t="s">
        <v>158</v>
      </c>
    </row>
    <row r="3" spans="2:9" ht="16.5" thickBot="1">
      <c r="B3" s="6" t="s">
        <v>5</v>
      </c>
      <c r="C3" s="7" t="s">
        <v>6</v>
      </c>
      <c r="D3" s="7">
        <v>30</v>
      </c>
      <c r="E3" s="8" t="s">
        <v>7</v>
      </c>
      <c r="F3" s="5" t="s">
        <v>159</v>
      </c>
      <c r="G3" s="15" t="s">
        <v>144</v>
      </c>
      <c r="H3" s="77" t="s">
        <v>324</v>
      </c>
    </row>
    <row r="4" spans="2:9" ht="15.75" thickBot="1">
      <c r="B4" s="23" t="s">
        <v>8</v>
      </c>
      <c r="C4" s="24" t="s">
        <v>6</v>
      </c>
      <c r="D4" s="24">
        <v>3</v>
      </c>
      <c r="E4" s="25" t="s">
        <v>9</v>
      </c>
      <c r="F4" s="25" t="s">
        <v>10</v>
      </c>
      <c r="G4" s="26" t="s">
        <v>222</v>
      </c>
      <c r="H4" s="39" t="s">
        <v>290</v>
      </c>
    </row>
    <row r="5" spans="2:9" ht="15.75" thickBot="1">
      <c r="B5" s="19" t="s">
        <v>11</v>
      </c>
      <c r="C5" s="20" t="s">
        <v>12</v>
      </c>
      <c r="D5" s="20">
        <v>16</v>
      </c>
      <c r="E5" s="21" t="s">
        <v>13</v>
      </c>
      <c r="F5" s="21" t="s">
        <v>14</v>
      </c>
      <c r="G5" s="40" t="s">
        <v>145</v>
      </c>
      <c r="H5" s="55" t="s">
        <v>307</v>
      </c>
    </row>
    <row r="6" spans="2:9" ht="39" thickBot="1">
      <c r="B6" s="23" t="s">
        <v>15</v>
      </c>
      <c r="C6" s="24" t="s">
        <v>12</v>
      </c>
      <c r="D6" s="24">
        <v>6</v>
      </c>
      <c r="E6" s="25" t="s">
        <v>16</v>
      </c>
      <c r="F6" s="25" t="s">
        <v>17</v>
      </c>
      <c r="G6" s="26" t="s">
        <v>143</v>
      </c>
      <c r="H6" s="55" t="s">
        <v>307</v>
      </c>
      <c r="I6" s="41"/>
    </row>
    <row r="7" spans="2:9" ht="15.75" thickBot="1">
      <c r="B7" s="19" t="s">
        <v>18</v>
      </c>
      <c r="C7" s="20" t="s">
        <v>12</v>
      </c>
      <c r="D7" s="20">
        <v>6</v>
      </c>
      <c r="E7" s="21" t="s">
        <v>19</v>
      </c>
      <c r="F7" s="27" t="s">
        <v>160</v>
      </c>
      <c r="G7" s="42" t="s">
        <v>145</v>
      </c>
    </row>
    <row r="8" spans="2:9" ht="15.75" thickBot="1">
      <c r="B8" s="19" t="s">
        <v>21</v>
      </c>
      <c r="C8" s="20" t="s">
        <v>12</v>
      </c>
      <c r="D8" s="20">
        <v>2</v>
      </c>
      <c r="E8" s="21" t="s">
        <v>22</v>
      </c>
      <c r="F8" s="27" t="s">
        <v>161</v>
      </c>
      <c r="G8" s="42" t="s">
        <v>145</v>
      </c>
    </row>
    <row r="9" spans="2:9" ht="15.75" thickBot="1">
      <c r="B9" s="6" t="s">
        <v>24</v>
      </c>
      <c r="C9" s="7" t="s">
        <v>6</v>
      </c>
      <c r="D9" s="7">
        <v>1</v>
      </c>
      <c r="E9" s="8" t="s">
        <v>162</v>
      </c>
      <c r="F9" s="5">
        <v>1</v>
      </c>
      <c r="G9" s="15" t="s">
        <v>144</v>
      </c>
    </row>
    <row r="10" spans="2:9" ht="15.75" thickBot="1">
      <c r="B10" s="6" t="s">
        <v>163</v>
      </c>
      <c r="C10" s="7" t="s">
        <v>6</v>
      </c>
      <c r="D10" s="7">
        <v>20</v>
      </c>
      <c r="E10" s="8" t="s">
        <v>164</v>
      </c>
      <c r="F10" s="5" t="s">
        <v>165</v>
      </c>
      <c r="G10" s="15" t="s">
        <v>144</v>
      </c>
    </row>
    <row r="11" spans="2:9" ht="30.75" thickBot="1">
      <c r="B11" s="23" t="s">
        <v>166</v>
      </c>
      <c r="C11" s="24" t="s">
        <v>6</v>
      </c>
      <c r="D11" s="24">
        <v>8</v>
      </c>
      <c r="E11" s="25" t="s">
        <v>167</v>
      </c>
      <c r="F11" s="28" t="s">
        <v>168</v>
      </c>
      <c r="G11" s="26" t="s">
        <v>224</v>
      </c>
      <c r="H11" s="55" t="s">
        <v>285</v>
      </c>
    </row>
    <row r="12" spans="2:9" ht="15.75" thickBot="1">
      <c r="B12" s="23" t="s">
        <v>169</v>
      </c>
      <c r="C12" s="24" t="s">
        <v>6</v>
      </c>
      <c r="D12" s="24">
        <v>2</v>
      </c>
      <c r="E12" s="25" t="s">
        <v>170</v>
      </c>
      <c r="F12" s="28" t="s">
        <v>168</v>
      </c>
      <c r="G12" s="26" t="s">
        <v>223</v>
      </c>
      <c r="H12" s="55" t="s">
        <v>287</v>
      </c>
      <c r="I12" t="s">
        <v>288</v>
      </c>
    </row>
    <row r="13" spans="2:9" ht="15.75" thickBot="1">
      <c r="B13" s="46" t="s">
        <v>171</v>
      </c>
      <c r="C13" s="20" t="s">
        <v>6</v>
      </c>
      <c r="D13" s="20">
        <v>4</v>
      </c>
      <c r="E13" s="21" t="s">
        <v>172</v>
      </c>
      <c r="F13" s="27" t="s">
        <v>168</v>
      </c>
      <c r="G13" s="22" t="s">
        <v>227</v>
      </c>
      <c r="H13" s="55" t="s">
        <v>286</v>
      </c>
    </row>
    <row r="14" spans="2:9" ht="30.75" thickBot="1">
      <c r="B14" s="46" t="s">
        <v>173</v>
      </c>
      <c r="C14" s="24" t="s">
        <v>6</v>
      </c>
      <c r="D14" s="24">
        <v>8</v>
      </c>
      <c r="E14" s="25" t="s">
        <v>174</v>
      </c>
      <c r="F14" s="28" t="s">
        <v>168</v>
      </c>
      <c r="G14" s="26" t="s">
        <v>224</v>
      </c>
      <c r="H14" s="55" t="s">
        <v>285</v>
      </c>
    </row>
    <row r="15" spans="2:9" ht="15.75" thickBot="1">
      <c r="B15" s="46" t="s">
        <v>175</v>
      </c>
      <c r="C15" s="24" t="s">
        <v>6</v>
      </c>
      <c r="D15" s="24">
        <v>2</v>
      </c>
      <c r="E15" s="25" t="s">
        <v>176</v>
      </c>
      <c r="F15" s="29" t="s">
        <v>34</v>
      </c>
      <c r="G15" s="26" t="s">
        <v>225</v>
      </c>
      <c r="H15" s="55" t="s">
        <v>289</v>
      </c>
    </row>
    <row r="16" spans="2:9" ht="15.75" thickBot="1">
      <c r="B16" s="46" t="s">
        <v>177</v>
      </c>
      <c r="C16" s="30" t="s">
        <v>178</v>
      </c>
      <c r="D16" s="30">
        <v>5</v>
      </c>
      <c r="E16" s="31" t="s">
        <v>179</v>
      </c>
      <c r="F16" s="32" t="s">
        <v>180</v>
      </c>
      <c r="G16" s="33" t="s">
        <v>226</v>
      </c>
      <c r="H16" s="55" t="s">
        <v>298</v>
      </c>
    </row>
    <row r="17" spans="2:8" ht="15.75" thickBot="1">
      <c r="B17" s="46" t="s">
        <v>181</v>
      </c>
      <c r="C17" s="7" t="s">
        <v>6</v>
      </c>
      <c r="D17" s="7">
        <v>10</v>
      </c>
      <c r="E17" s="8" t="s">
        <v>182</v>
      </c>
      <c r="F17" s="5" t="s">
        <v>34</v>
      </c>
      <c r="G17" s="15" t="s">
        <v>144</v>
      </c>
    </row>
    <row r="18" spans="2:8" ht="15.75" thickBot="1">
      <c r="B18" s="46" t="s">
        <v>183</v>
      </c>
      <c r="C18" s="7" t="s">
        <v>6</v>
      </c>
      <c r="D18" s="7">
        <v>10</v>
      </c>
      <c r="E18" s="8" t="s">
        <v>184</v>
      </c>
      <c r="F18" s="5" t="s">
        <v>34</v>
      </c>
      <c r="G18" s="15" t="s">
        <v>144</v>
      </c>
    </row>
    <row r="19" spans="2:8" ht="30.75" thickBot="1">
      <c r="B19" s="46" t="s">
        <v>185</v>
      </c>
      <c r="C19" s="24" t="s">
        <v>6</v>
      </c>
      <c r="D19" s="24">
        <v>8</v>
      </c>
      <c r="E19" s="25" t="s">
        <v>186</v>
      </c>
      <c r="F19" s="28" t="s">
        <v>34</v>
      </c>
      <c r="G19" s="26" t="s">
        <v>224</v>
      </c>
      <c r="H19" s="55" t="s">
        <v>285</v>
      </c>
    </row>
    <row r="20" spans="2:8" ht="15.75" thickBot="1">
      <c r="B20" s="46" t="s">
        <v>187</v>
      </c>
      <c r="C20" s="24" t="s">
        <v>6</v>
      </c>
      <c r="D20" s="24">
        <v>16</v>
      </c>
      <c r="E20" s="25" t="s">
        <v>188</v>
      </c>
      <c r="F20" s="28" t="s">
        <v>168</v>
      </c>
      <c r="G20" s="26" t="s">
        <v>228</v>
      </c>
      <c r="H20" s="55" t="s">
        <v>291</v>
      </c>
    </row>
    <row r="21" spans="2:8" ht="15.75" thickBot="1">
      <c r="B21" s="46" t="s">
        <v>189</v>
      </c>
      <c r="C21" s="7" t="s">
        <v>6</v>
      </c>
      <c r="D21" s="7">
        <v>16</v>
      </c>
      <c r="E21" s="8" t="s">
        <v>190</v>
      </c>
      <c r="F21" s="14" t="s">
        <v>34</v>
      </c>
      <c r="G21" s="15" t="s">
        <v>144</v>
      </c>
    </row>
    <row r="22" spans="2:8" ht="45.75" thickBot="1">
      <c r="B22" s="23" t="s">
        <v>191</v>
      </c>
      <c r="C22" s="24" t="s">
        <v>6</v>
      </c>
      <c r="D22" s="24">
        <v>25</v>
      </c>
      <c r="E22" s="25" t="s">
        <v>192</v>
      </c>
      <c r="F22" s="28" t="s">
        <v>168</v>
      </c>
      <c r="G22" s="26" t="s">
        <v>150</v>
      </c>
      <c r="H22" s="55" t="s">
        <v>297</v>
      </c>
    </row>
    <row r="23" spans="2:8" ht="15.75" thickBot="1">
      <c r="B23" s="6" t="s">
        <v>193</v>
      </c>
      <c r="C23" s="7" t="s">
        <v>6</v>
      </c>
      <c r="D23" s="7">
        <v>4</v>
      </c>
      <c r="E23" s="8" t="s">
        <v>194</v>
      </c>
      <c r="F23" s="5" t="s">
        <v>34</v>
      </c>
      <c r="G23" s="15" t="s">
        <v>144</v>
      </c>
      <c r="H23" t="s">
        <v>300</v>
      </c>
    </row>
    <row r="24" spans="2:8" ht="15.75" thickBot="1">
      <c r="B24" s="6" t="s">
        <v>195</v>
      </c>
      <c r="C24" s="7" t="s">
        <v>6</v>
      </c>
      <c r="D24" s="7">
        <v>8</v>
      </c>
      <c r="E24" s="8" t="s">
        <v>196</v>
      </c>
      <c r="F24" s="5" t="s">
        <v>34</v>
      </c>
      <c r="G24" s="15" t="s">
        <v>144</v>
      </c>
    </row>
    <row r="25" spans="2:8" ht="15.75" thickBot="1">
      <c r="B25" s="6" t="s">
        <v>197</v>
      </c>
      <c r="C25" s="7" t="s">
        <v>6</v>
      </c>
      <c r="D25" s="7">
        <v>6</v>
      </c>
      <c r="E25" s="8" t="s">
        <v>198</v>
      </c>
      <c r="F25" s="5" t="s">
        <v>34</v>
      </c>
      <c r="G25" s="15" t="s">
        <v>144</v>
      </c>
    </row>
    <row r="26" spans="2:8" ht="15.75" thickBot="1">
      <c r="B26" s="6" t="s">
        <v>199</v>
      </c>
      <c r="C26" s="7" t="s">
        <v>6</v>
      </c>
      <c r="D26" s="7">
        <v>1</v>
      </c>
      <c r="E26" s="8" t="s">
        <v>200</v>
      </c>
      <c r="F26" s="5" t="s">
        <v>34</v>
      </c>
      <c r="G26" s="15" t="s">
        <v>144</v>
      </c>
    </row>
    <row r="27" spans="2:8" ht="15.75" thickBot="1">
      <c r="B27" s="6" t="s">
        <v>201</v>
      </c>
      <c r="C27" s="7" t="s">
        <v>6</v>
      </c>
      <c r="D27" s="7">
        <v>10</v>
      </c>
      <c r="E27" s="8" t="s">
        <v>202</v>
      </c>
      <c r="F27" s="5" t="s">
        <v>34</v>
      </c>
      <c r="G27" s="15" t="s">
        <v>144</v>
      </c>
    </row>
    <row r="28" spans="2:8" ht="15.75" thickBot="1">
      <c r="B28" s="6" t="s">
        <v>203</v>
      </c>
      <c r="C28" s="7" t="s">
        <v>6</v>
      </c>
      <c r="D28" s="7">
        <v>40</v>
      </c>
      <c r="E28" s="8" t="s">
        <v>204</v>
      </c>
      <c r="F28" s="5" t="s">
        <v>34</v>
      </c>
      <c r="G28" s="15" t="s">
        <v>144</v>
      </c>
    </row>
    <row r="29" spans="2:8" ht="15.75" thickBot="1">
      <c r="B29" s="6" t="s">
        <v>205</v>
      </c>
      <c r="C29" s="7" t="s">
        <v>6</v>
      </c>
      <c r="D29" s="7">
        <v>8</v>
      </c>
      <c r="E29" s="8" t="s">
        <v>206</v>
      </c>
      <c r="F29" s="5" t="s">
        <v>34</v>
      </c>
      <c r="G29" s="15" t="s">
        <v>144</v>
      </c>
    </row>
    <row r="30" spans="2:8" ht="39" thickBot="1">
      <c r="B30" s="6" t="s">
        <v>207</v>
      </c>
      <c r="C30" s="7" t="s">
        <v>6</v>
      </c>
      <c r="D30" s="7">
        <v>4</v>
      </c>
      <c r="E30" s="8" t="s">
        <v>208</v>
      </c>
      <c r="F30" s="5" t="s">
        <v>209</v>
      </c>
      <c r="G30" s="15" t="s">
        <v>144</v>
      </c>
    </row>
    <row r="31" spans="2:8" ht="15.75" thickBot="1">
      <c r="B31" s="6" t="s">
        <v>210</v>
      </c>
      <c r="C31" s="7" t="s">
        <v>6</v>
      </c>
      <c r="D31" s="7">
        <v>3</v>
      </c>
      <c r="E31" s="8" t="s">
        <v>211</v>
      </c>
      <c r="F31" s="5" t="s">
        <v>34</v>
      </c>
      <c r="G31" s="15" t="s">
        <v>144</v>
      </c>
    </row>
    <row r="32" spans="2:8" ht="15.75" thickBot="1">
      <c r="B32" s="6" t="s">
        <v>212</v>
      </c>
      <c r="C32" s="7" t="s">
        <v>6</v>
      </c>
      <c r="D32" s="7">
        <v>2</v>
      </c>
      <c r="E32" s="8" t="s">
        <v>213</v>
      </c>
      <c r="F32" s="5" t="s">
        <v>34</v>
      </c>
      <c r="G32" s="15" t="s">
        <v>144</v>
      </c>
    </row>
    <row r="33" spans="2:7" ht="15.75" thickBot="1">
      <c r="B33" s="6" t="s">
        <v>214</v>
      </c>
      <c r="C33" s="7" t="s">
        <v>6</v>
      </c>
      <c r="D33" s="7">
        <v>10</v>
      </c>
      <c r="E33" s="8" t="s">
        <v>215</v>
      </c>
      <c r="F33" s="5" t="s">
        <v>34</v>
      </c>
      <c r="G33" s="15" t="s">
        <v>144</v>
      </c>
    </row>
    <row r="34" spans="2:7" ht="15.75" thickBot="1">
      <c r="B34" s="6" t="s">
        <v>216</v>
      </c>
      <c r="C34" s="7" t="s">
        <v>6</v>
      </c>
      <c r="D34" s="7">
        <v>50</v>
      </c>
      <c r="E34" s="8" t="s">
        <v>217</v>
      </c>
      <c r="F34" s="5" t="s">
        <v>34</v>
      </c>
      <c r="G34" s="15" t="s">
        <v>144</v>
      </c>
    </row>
    <row r="35" spans="2:7" ht="15.75" thickBot="1">
      <c r="B35" s="6" t="s">
        <v>218</v>
      </c>
      <c r="C35" s="7" t="s">
        <v>6</v>
      </c>
      <c r="D35" s="7">
        <v>1</v>
      </c>
      <c r="E35" s="8" t="s">
        <v>219</v>
      </c>
      <c r="F35" s="5" t="s">
        <v>34</v>
      </c>
      <c r="G35" s="15" t="s">
        <v>144</v>
      </c>
    </row>
    <row r="36" spans="2:7" ht="15.75" thickBot="1">
      <c r="B36" s="6" t="s">
        <v>220</v>
      </c>
      <c r="C36" s="7" t="s">
        <v>6</v>
      </c>
      <c r="D36" s="7">
        <v>1</v>
      </c>
      <c r="E36" s="8" t="s">
        <v>221</v>
      </c>
      <c r="F36" s="5" t="s">
        <v>34</v>
      </c>
      <c r="G36" s="15" t="s">
        <v>144</v>
      </c>
    </row>
    <row r="37" spans="2:7">
      <c r="D37">
        <f>SUM(D3:D36)</f>
        <v>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3"/>
  <sheetViews>
    <sheetView showGridLines="0" tabSelected="1" topLeftCell="G13" workbookViewId="0">
      <selection activeCell="J40" sqref="J40"/>
    </sheetView>
  </sheetViews>
  <sheetFormatPr baseColWidth="10" defaultRowHeight="15"/>
  <cols>
    <col min="1" max="1" width="4.5703125" customWidth="1"/>
    <col min="2" max="2" width="12.5703125" bestFit="1" customWidth="1"/>
    <col min="3" max="4" width="6" bestFit="1" customWidth="1"/>
    <col min="5" max="6" width="6" style="57" customWidth="1"/>
    <col min="7" max="7" width="56.28515625" customWidth="1"/>
    <col min="8" max="8" width="52.28515625" customWidth="1"/>
    <col min="9" max="9" width="31.42578125" customWidth="1"/>
    <col min="10" max="10" width="33.140625" customWidth="1"/>
    <col min="11" max="12" width="19.28515625" style="15" customWidth="1"/>
  </cols>
  <sheetData>
    <row r="1" spans="1:12" ht="15.75" thickBot="1">
      <c r="J1" t="s">
        <v>294</v>
      </c>
    </row>
    <row r="2" spans="1:12" ht="15.75" thickBot="1">
      <c r="B2" s="1" t="s">
        <v>0</v>
      </c>
      <c r="C2" s="2" t="s">
        <v>1</v>
      </c>
      <c r="D2" s="2" t="s">
        <v>2</v>
      </c>
      <c r="E2" s="2" t="s">
        <v>309</v>
      </c>
      <c r="F2" s="2" t="s">
        <v>308</v>
      </c>
      <c r="G2" s="2" t="s">
        <v>3</v>
      </c>
      <c r="H2" s="2" t="s">
        <v>4</v>
      </c>
    </row>
    <row r="3" spans="1:12" s="61" customFormat="1" ht="38.25">
      <c r="A3" s="61">
        <v>1</v>
      </c>
      <c r="B3" s="74" t="s">
        <v>5</v>
      </c>
      <c r="C3" s="64" t="s">
        <v>6</v>
      </c>
      <c r="D3" s="64">
        <v>30</v>
      </c>
      <c r="E3" s="75">
        <v>1</v>
      </c>
      <c r="F3" s="75">
        <f>D3+E3</f>
        <v>31</v>
      </c>
      <c r="G3" s="64" t="s">
        <v>7</v>
      </c>
      <c r="H3" s="69" t="s">
        <v>310</v>
      </c>
      <c r="I3" s="76" t="s">
        <v>144</v>
      </c>
      <c r="J3" s="77" t="s">
        <v>325</v>
      </c>
      <c r="K3" s="70"/>
      <c r="L3" s="40" t="s">
        <v>322</v>
      </c>
    </row>
    <row r="4" spans="1:12" ht="15.75" thickBot="1">
      <c r="A4">
        <v>2</v>
      </c>
      <c r="B4" s="23" t="s">
        <v>8</v>
      </c>
      <c r="C4" s="24" t="s">
        <v>6</v>
      </c>
      <c r="D4" s="24">
        <v>3</v>
      </c>
      <c r="E4" s="58">
        <f>F3</f>
        <v>31</v>
      </c>
      <c r="F4" s="58">
        <f t="shared" ref="F4:F48" si="0">E4+D4</f>
        <v>34</v>
      </c>
      <c r="G4" s="25" t="s">
        <v>9</v>
      </c>
      <c r="H4" s="25" t="s">
        <v>10</v>
      </c>
      <c r="I4" s="44" t="s">
        <v>10</v>
      </c>
      <c r="J4" t="s">
        <v>292</v>
      </c>
    </row>
    <row r="5" spans="1:12" ht="15.75" thickBot="1">
      <c r="A5">
        <v>3</v>
      </c>
      <c r="B5" s="23" t="s">
        <v>11</v>
      </c>
      <c r="C5" s="24" t="s">
        <v>12</v>
      </c>
      <c r="D5" s="24">
        <v>16</v>
      </c>
      <c r="E5" s="58">
        <f>F4</f>
        <v>34</v>
      </c>
      <c r="F5" s="58">
        <f t="shared" si="0"/>
        <v>50</v>
      </c>
      <c r="G5" s="25" t="s">
        <v>13</v>
      </c>
      <c r="H5" s="25" t="s">
        <v>14</v>
      </c>
      <c r="I5" s="44" t="s">
        <v>291</v>
      </c>
      <c r="J5" s="55" t="s">
        <v>307</v>
      </c>
    </row>
    <row r="6" spans="1:12" s="61" customFormat="1" ht="26.25" thickBot="1">
      <c r="A6" s="61">
        <v>4</v>
      </c>
      <c r="B6" s="73" t="s">
        <v>15</v>
      </c>
      <c r="C6" s="60" t="s">
        <v>12</v>
      </c>
      <c r="D6" s="60">
        <v>6</v>
      </c>
      <c r="E6" s="60">
        <f t="shared" ref="E6:E62" si="1">F5</f>
        <v>50</v>
      </c>
      <c r="F6" s="60">
        <f t="shared" si="0"/>
        <v>56</v>
      </c>
      <c r="G6" s="72" t="s">
        <v>16</v>
      </c>
      <c r="H6" s="72" t="s">
        <v>17</v>
      </c>
      <c r="I6" s="61" t="s">
        <v>299</v>
      </c>
      <c r="J6" s="61" t="s">
        <v>306</v>
      </c>
      <c r="K6" s="70"/>
      <c r="L6" s="40" t="s">
        <v>311</v>
      </c>
    </row>
    <row r="7" spans="1:12" ht="15.75" thickBot="1">
      <c r="A7">
        <v>5</v>
      </c>
      <c r="B7" s="23" t="s">
        <v>18</v>
      </c>
      <c r="C7" s="24" t="s">
        <v>12</v>
      </c>
      <c r="D7" s="24">
        <v>6</v>
      </c>
      <c r="E7" s="58">
        <f t="shared" si="1"/>
        <v>56</v>
      </c>
      <c r="F7" s="58">
        <f t="shared" si="0"/>
        <v>62</v>
      </c>
      <c r="G7" s="25" t="s">
        <v>19</v>
      </c>
      <c r="H7" s="28" t="s">
        <v>20</v>
      </c>
      <c r="I7" s="34" t="s">
        <v>145</v>
      </c>
      <c r="J7" t="s">
        <v>292</v>
      </c>
    </row>
    <row r="8" spans="1:12" ht="15.75" thickBot="1">
      <c r="A8">
        <v>6</v>
      </c>
      <c r="B8" s="23" t="s">
        <v>21</v>
      </c>
      <c r="C8" s="24" t="s">
        <v>12</v>
      </c>
      <c r="D8" s="24">
        <v>2</v>
      </c>
      <c r="E8" s="58">
        <f t="shared" si="1"/>
        <v>62</v>
      </c>
      <c r="F8" s="58">
        <f t="shared" si="0"/>
        <v>64</v>
      </c>
      <c r="G8" s="25" t="s">
        <v>22</v>
      </c>
      <c r="H8" s="28" t="s">
        <v>23</v>
      </c>
      <c r="I8" s="35" t="s">
        <v>145</v>
      </c>
      <c r="J8" t="s">
        <v>292</v>
      </c>
    </row>
    <row r="9" spans="1:12" ht="15.75" thickBot="1">
      <c r="A9">
        <v>7</v>
      </c>
      <c r="B9" s="9" t="s">
        <v>24</v>
      </c>
      <c r="C9" s="10" t="s">
        <v>6</v>
      </c>
      <c r="D9" s="10">
        <v>1</v>
      </c>
      <c r="E9" s="58">
        <f t="shared" si="1"/>
        <v>64</v>
      </c>
      <c r="F9" s="58">
        <f t="shared" si="0"/>
        <v>65</v>
      </c>
      <c r="G9" s="5" t="s">
        <v>25</v>
      </c>
      <c r="H9" s="59" t="s">
        <v>312</v>
      </c>
      <c r="I9" t="s">
        <v>144</v>
      </c>
    </row>
    <row r="10" spans="1:12" ht="15.75" thickBot="1">
      <c r="A10">
        <v>8</v>
      </c>
      <c r="B10" s="11" t="s">
        <v>26</v>
      </c>
      <c r="C10" s="12" t="s">
        <v>6</v>
      </c>
      <c r="D10" s="12">
        <v>30</v>
      </c>
      <c r="E10" s="58">
        <f t="shared" si="1"/>
        <v>65</v>
      </c>
      <c r="F10" s="58">
        <f t="shared" si="0"/>
        <v>95</v>
      </c>
      <c r="G10" s="4" t="s">
        <v>27</v>
      </c>
      <c r="H10" s="4" t="s">
        <v>28</v>
      </c>
      <c r="I10" t="s">
        <v>144</v>
      </c>
    </row>
    <row r="11" spans="1:12" s="61" customFormat="1" ht="30.75" thickBot="1">
      <c r="A11" s="78">
        <v>9</v>
      </c>
      <c r="B11" s="79" t="s">
        <v>29</v>
      </c>
      <c r="C11" s="80" t="s">
        <v>6</v>
      </c>
      <c r="D11" s="80">
        <v>2</v>
      </c>
      <c r="E11" s="81">
        <f t="shared" si="1"/>
        <v>95</v>
      </c>
      <c r="F11" s="81">
        <f t="shared" si="0"/>
        <v>97</v>
      </c>
      <c r="G11" s="82" t="s">
        <v>30</v>
      </c>
      <c r="H11" s="82" t="s">
        <v>31</v>
      </c>
      <c r="I11" s="78" t="s">
        <v>144</v>
      </c>
      <c r="J11" s="78"/>
      <c r="K11" s="83" t="s">
        <v>316</v>
      </c>
      <c r="L11" s="40" t="s">
        <v>300</v>
      </c>
    </row>
    <row r="12" spans="1:12" ht="15.75" thickBot="1">
      <c r="A12">
        <v>10</v>
      </c>
      <c r="B12" s="9" t="s">
        <v>32</v>
      </c>
      <c r="C12" s="10" t="s">
        <v>6</v>
      </c>
      <c r="D12" s="10">
        <v>1</v>
      </c>
      <c r="E12" s="58">
        <f t="shared" si="1"/>
        <v>97</v>
      </c>
      <c r="F12" s="58">
        <f t="shared" si="0"/>
        <v>98</v>
      </c>
      <c r="G12" s="13" t="s">
        <v>33</v>
      </c>
      <c r="H12" s="5" t="s">
        <v>34</v>
      </c>
      <c r="I12" t="s">
        <v>144</v>
      </c>
    </row>
    <row r="13" spans="1:12" ht="15.75" thickBot="1">
      <c r="A13">
        <v>11</v>
      </c>
      <c r="B13" s="36" t="s">
        <v>35</v>
      </c>
      <c r="C13" s="37" t="s">
        <v>6</v>
      </c>
      <c r="D13" s="37">
        <v>16</v>
      </c>
      <c r="E13" s="58">
        <f t="shared" si="1"/>
        <v>98</v>
      </c>
      <c r="F13" s="58">
        <f t="shared" si="0"/>
        <v>114</v>
      </c>
      <c r="G13" s="28" t="s">
        <v>36</v>
      </c>
      <c r="H13" s="28" t="s">
        <v>37</v>
      </c>
      <c r="I13" s="43" t="s">
        <v>146</v>
      </c>
      <c r="J13" s="55" t="s">
        <v>296</v>
      </c>
      <c r="K13" s="33" t="s">
        <v>313</v>
      </c>
    </row>
    <row r="14" spans="1:12" ht="15.75" thickBot="1">
      <c r="A14">
        <v>12</v>
      </c>
      <c r="B14" s="9" t="s">
        <v>38</v>
      </c>
      <c r="C14" s="10" t="s">
        <v>6</v>
      </c>
      <c r="D14" s="10">
        <v>16</v>
      </c>
      <c r="E14" s="58">
        <f t="shared" si="1"/>
        <v>114</v>
      </c>
      <c r="F14" s="58">
        <f t="shared" si="0"/>
        <v>130</v>
      </c>
      <c r="G14" s="5" t="s">
        <v>39</v>
      </c>
      <c r="H14" s="5" t="s">
        <v>40</v>
      </c>
      <c r="I14" t="s">
        <v>144</v>
      </c>
    </row>
    <row r="15" spans="1:12" ht="90.75" thickBot="1">
      <c r="A15">
        <v>13</v>
      </c>
      <c r="B15" s="36" t="s">
        <v>41</v>
      </c>
      <c r="C15" s="37" t="s">
        <v>6</v>
      </c>
      <c r="D15" s="37">
        <v>16</v>
      </c>
      <c r="E15" s="58">
        <f t="shared" si="1"/>
        <v>130</v>
      </c>
      <c r="F15" s="58">
        <f t="shared" si="0"/>
        <v>146</v>
      </c>
      <c r="G15" s="28" t="s">
        <v>42</v>
      </c>
      <c r="H15" s="28" t="s">
        <v>34</v>
      </c>
      <c r="I15" s="45" t="s">
        <v>147</v>
      </c>
      <c r="J15" s="55" t="s">
        <v>283</v>
      </c>
      <c r="K15" s="33" t="s">
        <v>295</v>
      </c>
      <c r="L15" s="70"/>
    </row>
    <row r="16" spans="1:12" ht="15.75" thickBot="1">
      <c r="A16">
        <v>14</v>
      </c>
      <c r="B16" s="9" t="s">
        <v>43</v>
      </c>
      <c r="C16" s="10" t="s">
        <v>6</v>
      </c>
      <c r="D16" s="10">
        <v>2</v>
      </c>
      <c r="E16" s="58">
        <f t="shared" si="1"/>
        <v>146</v>
      </c>
      <c r="F16" s="58">
        <f t="shared" si="0"/>
        <v>148</v>
      </c>
      <c r="G16" s="5" t="s">
        <v>44</v>
      </c>
      <c r="H16" s="5" t="s">
        <v>40</v>
      </c>
      <c r="I16" t="s">
        <v>144</v>
      </c>
    </row>
    <row r="17" spans="1:10" ht="15.75" thickBot="1">
      <c r="A17">
        <v>15</v>
      </c>
      <c r="B17" s="9" t="s">
        <v>45</v>
      </c>
      <c r="C17" s="10" t="s">
        <v>6</v>
      </c>
      <c r="D17" s="10">
        <v>4</v>
      </c>
      <c r="E17" s="58">
        <f t="shared" si="1"/>
        <v>148</v>
      </c>
      <c r="F17" s="58">
        <f t="shared" si="0"/>
        <v>152</v>
      </c>
      <c r="G17" s="5" t="s">
        <v>46</v>
      </c>
      <c r="H17" s="5" t="s">
        <v>34</v>
      </c>
      <c r="I17" t="s">
        <v>144</v>
      </c>
    </row>
    <row r="18" spans="1:10" ht="26.25" thickBot="1">
      <c r="A18">
        <v>16</v>
      </c>
      <c r="B18" s="36" t="s">
        <v>47</v>
      </c>
      <c r="C18" s="37" t="s">
        <v>6</v>
      </c>
      <c r="D18" s="37">
        <v>10</v>
      </c>
      <c r="E18" s="58">
        <f t="shared" si="1"/>
        <v>152</v>
      </c>
      <c r="F18" s="58">
        <f t="shared" si="0"/>
        <v>162</v>
      </c>
      <c r="G18" s="28" t="s">
        <v>301</v>
      </c>
      <c r="H18" s="28" t="s">
        <v>48</v>
      </c>
      <c r="I18" s="35" t="s">
        <v>148</v>
      </c>
      <c r="J18" s="55" t="s">
        <v>293</v>
      </c>
    </row>
    <row r="19" spans="1:10" ht="15.75" thickBot="1">
      <c r="A19">
        <v>17</v>
      </c>
      <c r="B19" s="9" t="s">
        <v>49</v>
      </c>
      <c r="C19" s="10" t="s">
        <v>6</v>
      </c>
      <c r="D19" s="10">
        <v>12</v>
      </c>
      <c r="E19" s="58">
        <f t="shared" si="1"/>
        <v>162</v>
      </c>
      <c r="F19" s="58">
        <f t="shared" si="0"/>
        <v>174</v>
      </c>
      <c r="G19" s="5" t="s">
        <v>50</v>
      </c>
      <c r="H19" s="5" t="s">
        <v>34</v>
      </c>
      <c r="I19" t="s">
        <v>144</v>
      </c>
    </row>
    <row r="20" spans="1:10" ht="15.75" thickBot="1">
      <c r="A20">
        <v>18</v>
      </c>
      <c r="B20" s="9" t="s">
        <v>51</v>
      </c>
      <c r="C20" s="10" t="s">
        <v>6</v>
      </c>
      <c r="D20" s="10">
        <v>17</v>
      </c>
      <c r="E20" s="58">
        <f t="shared" si="1"/>
        <v>174</v>
      </c>
      <c r="F20" s="58">
        <f t="shared" si="0"/>
        <v>191</v>
      </c>
      <c r="G20" s="5" t="s">
        <v>52</v>
      </c>
      <c r="H20" s="5" t="s">
        <v>34</v>
      </c>
      <c r="I20" t="s">
        <v>144</v>
      </c>
    </row>
    <row r="21" spans="1:10" ht="15.75" thickBot="1">
      <c r="A21">
        <v>19</v>
      </c>
      <c r="B21" s="9" t="s">
        <v>53</v>
      </c>
      <c r="C21" s="10" t="s">
        <v>54</v>
      </c>
      <c r="D21" s="10">
        <v>3</v>
      </c>
      <c r="E21" s="58">
        <f t="shared" si="1"/>
        <v>191</v>
      </c>
      <c r="F21" s="58">
        <f t="shared" si="0"/>
        <v>194</v>
      </c>
      <c r="G21" s="5" t="s">
        <v>55</v>
      </c>
      <c r="H21" s="5" t="s">
        <v>34</v>
      </c>
      <c r="I21" t="s">
        <v>144</v>
      </c>
    </row>
    <row r="22" spans="1:10" ht="15.75" thickBot="1">
      <c r="A22">
        <v>20</v>
      </c>
      <c r="B22" s="9" t="s">
        <v>56</v>
      </c>
      <c r="C22" s="10" t="s">
        <v>6</v>
      </c>
      <c r="D22" s="10">
        <v>8</v>
      </c>
      <c r="E22" s="58">
        <f t="shared" si="1"/>
        <v>194</v>
      </c>
      <c r="F22" s="58">
        <f t="shared" si="0"/>
        <v>202</v>
      </c>
      <c r="G22" s="5" t="s">
        <v>57</v>
      </c>
      <c r="H22" s="5" t="s">
        <v>34</v>
      </c>
      <c r="I22" t="s">
        <v>144</v>
      </c>
    </row>
    <row r="23" spans="1:10" ht="15.75" thickBot="1">
      <c r="A23">
        <v>21</v>
      </c>
      <c r="B23" s="36" t="s">
        <v>58</v>
      </c>
      <c r="C23" s="37" t="s">
        <v>6</v>
      </c>
      <c r="D23" s="37">
        <v>8</v>
      </c>
      <c r="E23" s="58">
        <f t="shared" si="1"/>
        <v>202</v>
      </c>
      <c r="F23" s="58">
        <f t="shared" si="0"/>
        <v>210</v>
      </c>
      <c r="G23" s="28" t="s">
        <v>59</v>
      </c>
      <c r="H23" s="28" t="s">
        <v>60</v>
      </c>
      <c r="I23" s="43" t="s">
        <v>149</v>
      </c>
      <c r="J23" s="55" t="s">
        <v>149</v>
      </c>
    </row>
    <row r="24" spans="1:10" ht="15.75" thickBot="1">
      <c r="A24">
        <v>22</v>
      </c>
      <c r="B24" s="36" t="s">
        <v>61</v>
      </c>
      <c r="C24" s="37" t="s">
        <v>6</v>
      </c>
      <c r="D24" s="37">
        <v>18</v>
      </c>
      <c r="E24" s="58">
        <f t="shared" si="1"/>
        <v>210</v>
      </c>
      <c r="F24" s="58">
        <f t="shared" si="0"/>
        <v>228</v>
      </c>
      <c r="G24" s="28" t="s">
        <v>62</v>
      </c>
      <c r="H24" s="28" t="s">
        <v>60</v>
      </c>
      <c r="I24" s="26" t="s">
        <v>144</v>
      </c>
    </row>
    <row r="25" spans="1:10" ht="15.75" thickBot="1">
      <c r="A25">
        <v>23</v>
      </c>
      <c r="B25" s="36" t="s">
        <v>63</v>
      </c>
      <c r="C25" s="37" t="s">
        <v>6</v>
      </c>
      <c r="D25" s="37">
        <v>50</v>
      </c>
      <c r="E25" s="58">
        <f t="shared" si="1"/>
        <v>228</v>
      </c>
      <c r="F25" s="58">
        <f t="shared" si="0"/>
        <v>278</v>
      </c>
      <c r="G25" s="28" t="s">
        <v>64</v>
      </c>
      <c r="H25" s="28" t="s">
        <v>60</v>
      </c>
      <c r="I25" s="42" t="s">
        <v>302</v>
      </c>
      <c r="J25" s="56" t="s">
        <v>302</v>
      </c>
    </row>
    <row r="26" spans="1:10" ht="15.75" thickBot="1">
      <c r="A26">
        <v>24</v>
      </c>
      <c r="B26" s="9" t="s">
        <v>65</v>
      </c>
      <c r="C26" s="10" t="s">
        <v>6</v>
      </c>
      <c r="D26" s="10">
        <v>4</v>
      </c>
      <c r="E26" s="58">
        <f t="shared" si="1"/>
        <v>278</v>
      </c>
      <c r="F26" s="58">
        <f t="shared" si="0"/>
        <v>282</v>
      </c>
      <c r="G26" s="5" t="s">
        <v>66</v>
      </c>
      <c r="H26" s="5" t="s">
        <v>34</v>
      </c>
      <c r="I26" t="s">
        <v>144</v>
      </c>
    </row>
    <row r="27" spans="1:10" ht="15.75" thickBot="1">
      <c r="A27">
        <v>25</v>
      </c>
      <c r="B27" s="9" t="s">
        <v>67</v>
      </c>
      <c r="C27" s="10" t="s">
        <v>6</v>
      </c>
      <c r="D27" s="10">
        <v>1</v>
      </c>
      <c r="E27" s="58">
        <f t="shared" si="1"/>
        <v>282</v>
      </c>
      <c r="F27" s="58">
        <f t="shared" si="0"/>
        <v>283</v>
      </c>
      <c r="G27" s="5" t="s">
        <v>68</v>
      </c>
      <c r="H27" s="5" t="s">
        <v>34</v>
      </c>
      <c r="I27" t="s">
        <v>144</v>
      </c>
    </row>
    <row r="28" spans="1:10" ht="15.75" thickBot="1">
      <c r="A28">
        <v>26</v>
      </c>
      <c r="B28" s="9" t="s">
        <v>69</v>
      </c>
      <c r="C28" s="10" t="s">
        <v>6</v>
      </c>
      <c r="D28" s="10">
        <v>10</v>
      </c>
      <c r="E28" s="58">
        <f t="shared" si="1"/>
        <v>283</v>
      </c>
      <c r="F28" s="58">
        <f t="shared" si="0"/>
        <v>293</v>
      </c>
      <c r="G28" s="5" t="s">
        <v>70</v>
      </c>
      <c r="H28" s="5" t="s">
        <v>34</v>
      </c>
      <c r="I28" t="s">
        <v>144</v>
      </c>
    </row>
    <row r="29" spans="1:10" ht="15.75" thickBot="1">
      <c r="A29">
        <v>27</v>
      </c>
      <c r="B29" s="9" t="s">
        <v>71</v>
      </c>
      <c r="C29" s="10" t="s">
        <v>6</v>
      </c>
      <c r="D29" s="10">
        <v>4</v>
      </c>
      <c r="E29" s="58">
        <f t="shared" si="1"/>
        <v>293</v>
      </c>
      <c r="F29" s="58">
        <f t="shared" si="0"/>
        <v>297</v>
      </c>
      <c r="G29" s="5" t="s">
        <v>72</v>
      </c>
      <c r="H29" s="5" t="s">
        <v>34</v>
      </c>
      <c r="I29" t="s">
        <v>144</v>
      </c>
    </row>
    <row r="30" spans="1:10" ht="15.75" thickBot="1">
      <c r="A30">
        <v>28</v>
      </c>
      <c r="B30" s="9" t="s">
        <v>73</v>
      </c>
      <c r="C30" s="10" t="s">
        <v>6</v>
      </c>
      <c r="D30" s="10">
        <v>1</v>
      </c>
      <c r="E30" s="58">
        <f t="shared" si="1"/>
        <v>297</v>
      </c>
      <c r="F30" s="58">
        <f t="shared" si="0"/>
        <v>298</v>
      </c>
      <c r="G30" s="5" t="s">
        <v>74</v>
      </c>
      <c r="H30" s="5" t="s">
        <v>34</v>
      </c>
      <c r="I30" t="s">
        <v>144</v>
      </c>
    </row>
    <row r="31" spans="1:10" ht="15.75" thickBot="1">
      <c r="A31">
        <v>29</v>
      </c>
      <c r="B31" s="9" t="s">
        <v>75</v>
      </c>
      <c r="C31" s="10" t="s">
        <v>6</v>
      </c>
      <c r="D31" s="10">
        <v>2</v>
      </c>
      <c r="E31" s="58">
        <f t="shared" si="1"/>
        <v>298</v>
      </c>
      <c r="F31" s="58">
        <f t="shared" si="0"/>
        <v>300</v>
      </c>
      <c r="G31" s="5" t="s">
        <v>76</v>
      </c>
      <c r="H31" s="14" t="s">
        <v>34</v>
      </c>
      <c r="I31" t="s">
        <v>144</v>
      </c>
    </row>
    <row r="32" spans="1:10" ht="15.75" thickBot="1">
      <c r="A32">
        <v>30</v>
      </c>
      <c r="B32" s="9" t="s">
        <v>77</v>
      </c>
      <c r="C32" s="10" t="s">
        <v>6</v>
      </c>
      <c r="D32" s="10">
        <v>2</v>
      </c>
      <c r="E32" s="58">
        <f t="shared" si="1"/>
        <v>300</v>
      </c>
      <c r="F32" s="58">
        <f t="shared" si="0"/>
        <v>302</v>
      </c>
      <c r="G32" s="5" t="s">
        <v>78</v>
      </c>
      <c r="H32" s="14" t="s">
        <v>34</v>
      </c>
      <c r="I32" t="s">
        <v>144</v>
      </c>
    </row>
    <row r="33" spans="1:12" ht="15.75" thickBot="1">
      <c r="A33">
        <v>31</v>
      </c>
      <c r="B33" s="9" t="s">
        <v>79</v>
      </c>
      <c r="C33" s="10" t="s">
        <v>6</v>
      </c>
      <c r="D33" s="10">
        <v>5</v>
      </c>
      <c r="E33" s="58">
        <f t="shared" si="1"/>
        <v>302</v>
      </c>
      <c r="F33" s="58">
        <f t="shared" si="0"/>
        <v>307</v>
      </c>
      <c r="G33" s="5" t="s">
        <v>80</v>
      </c>
      <c r="H33" s="5" t="s">
        <v>34</v>
      </c>
      <c r="I33" t="s">
        <v>144</v>
      </c>
    </row>
    <row r="34" spans="1:12" ht="15.75" thickBot="1">
      <c r="A34">
        <v>32</v>
      </c>
      <c r="B34" s="9" t="s">
        <v>81</v>
      </c>
      <c r="C34" s="10" t="s">
        <v>6</v>
      </c>
      <c r="D34" s="10">
        <v>3</v>
      </c>
      <c r="E34" s="58">
        <f t="shared" si="1"/>
        <v>307</v>
      </c>
      <c r="F34" s="58">
        <f t="shared" si="0"/>
        <v>310</v>
      </c>
      <c r="G34" s="5" t="s">
        <v>82</v>
      </c>
      <c r="H34" s="5" t="s">
        <v>40</v>
      </c>
      <c r="I34" t="s">
        <v>144</v>
      </c>
    </row>
    <row r="35" spans="1:12" ht="26.25" thickBot="1">
      <c r="A35">
        <v>33</v>
      </c>
      <c r="B35" s="9" t="s">
        <v>83</v>
      </c>
      <c r="C35" s="10" t="s">
        <v>6</v>
      </c>
      <c r="D35" s="10">
        <v>3</v>
      </c>
      <c r="E35" s="58">
        <f t="shared" si="1"/>
        <v>310</v>
      </c>
      <c r="F35" s="58">
        <f t="shared" si="0"/>
        <v>313</v>
      </c>
      <c r="G35" s="5" t="s">
        <v>84</v>
      </c>
      <c r="H35" s="5" t="s">
        <v>85</v>
      </c>
      <c r="I35" t="s">
        <v>144</v>
      </c>
    </row>
    <row r="36" spans="1:12" ht="15.75" thickBot="1">
      <c r="A36">
        <v>34</v>
      </c>
      <c r="B36" s="9" t="s">
        <v>86</v>
      </c>
      <c r="C36" s="10" t="s">
        <v>6</v>
      </c>
      <c r="D36" s="10">
        <v>18</v>
      </c>
      <c r="E36" s="58">
        <f t="shared" si="1"/>
        <v>313</v>
      </c>
      <c r="F36" s="58">
        <f t="shared" si="0"/>
        <v>331</v>
      </c>
      <c r="G36" s="5" t="s">
        <v>87</v>
      </c>
      <c r="H36" s="5" t="s">
        <v>34</v>
      </c>
      <c r="I36" t="s">
        <v>144</v>
      </c>
    </row>
    <row r="37" spans="1:12" ht="15.75" thickBot="1">
      <c r="A37">
        <v>35</v>
      </c>
      <c r="B37" s="52" t="s">
        <v>88</v>
      </c>
      <c r="C37" s="53" t="s">
        <v>6</v>
      </c>
      <c r="D37" s="53">
        <v>35</v>
      </c>
      <c r="E37" s="58">
        <f t="shared" si="1"/>
        <v>331</v>
      </c>
      <c r="F37" s="58">
        <f t="shared" si="0"/>
        <v>366</v>
      </c>
      <c r="G37" s="54" t="s">
        <v>89</v>
      </c>
      <c r="H37" s="54"/>
      <c r="I37" s="43" t="s">
        <v>144</v>
      </c>
      <c r="J37" s="55" t="s">
        <v>303</v>
      </c>
    </row>
    <row r="38" spans="1:12" ht="15.75" thickBot="1">
      <c r="A38">
        <v>36</v>
      </c>
      <c r="B38" s="52" t="s">
        <v>90</v>
      </c>
      <c r="C38" s="53" t="s">
        <v>6</v>
      </c>
      <c r="D38" s="53">
        <v>35</v>
      </c>
      <c r="E38" s="58">
        <f t="shared" si="1"/>
        <v>366</v>
      </c>
      <c r="F38" s="58">
        <f t="shared" si="0"/>
        <v>401</v>
      </c>
      <c r="G38" s="54" t="s">
        <v>91</v>
      </c>
      <c r="H38" s="54" t="s">
        <v>34</v>
      </c>
      <c r="I38" s="43" t="s">
        <v>144</v>
      </c>
      <c r="J38" s="55" t="s">
        <v>304</v>
      </c>
    </row>
    <row r="39" spans="1:12" ht="15.75" thickBot="1">
      <c r="A39">
        <v>37</v>
      </c>
      <c r="B39" s="52" t="s">
        <v>92</v>
      </c>
      <c r="C39" s="53" t="s">
        <v>6</v>
      </c>
      <c r="D39" s="53">
        <v>35</v>
      </c>
      <c r="E39" s="58">
        <f t="shared" si="1"/>
        <v>401</v>
      </c>
      <c r="F39" s="58">
        <f t="shared" si="0"/>
        <v>436</v>
      </c>
      <c r="G39" s="54" t="s">
        <v>93</v>
      </c>
      <c r="H39" s="54" t="s">
        <v>34</v>
      </c>
      <c r="I39" s="43" t="s">
        <v>144</v>
      </c>
      <c r="J39" s="55" t="s">
        <v>305</v>
      </c>
    </row>
    <row r="40" spans="1:12" ht="15.75" thickBot="1">
      <c r="A40">
        <v>38</v>
      </c>
      <c r="B40" s="38" t="s">
        <v>94</v>
      </c>
      <c r="C40" s="37" t="s">
        <v>6</v>
      </c>
      <c r="D40" s="37">
        <v>35</v>
      </c>
      <c r="E40" s="58">
        <f t="shared" si="1"/>
        <v>436</v>
      </c>
      <c r="F40" s="58">
        <f t="shared" si="0"/>
        <v>471</v>
      </c>
      <c r="G40" s="28" t="s">
        <v>95</v>
      </c>
      <c r="H40" s="28" t="s">
        <v>34</v>
      </c>
      <c r="I40" s="43" t="s">
        <v>144</v>
      </c>
      <c r="J40" s="55" t="s">
        <v>282</v>
      </c>
    </row>
    <row r="41" spans="1:12" ht="15.75" thickBot="1">
      <c r="A41">
        <v>39</v>
      </c>
      <c r="B41" s="9" t="s">
        <v>96</v>
      </c>
      <c r="C41" s="10" t="s">
        <v>6</v>
      </c>
      <c r="D41" s="10">
        <v>35</v>
      </c>
      <c r="E41" s="58">
        <f t="shared" si="1"/>
        <v>471</v>
      </c>
      <c r="F41" s="58">
        <f t="shared" si="0"/>
        <v>506</v>
      </c>
      <c r="G41" s="5" t="s">
        <v>97</v>
      </c>
      <c r="H41" s="5" t="s">
        <v>34</v>
      </c>
      <c r="I41" t="s">
        <v>144</v>
      </c>
    </row>
    <row r="42" spans="1:12" ht="15.75" thickBot="1">
      <c r="A42">
        <v>40</v>
      </c>
      <c r="B42" s="9" t="s">
        <v>98</v>
      </c>
      <c r="C42" s="10" t="s">
        <v>6</v>
      </c>
      <c r="D42" s="10">
        <v>35</v>
      </c>
      <c r="E42" s="58">
        <f t="shared" si="1"/>
        <v>506</v>
      </c>
      <c r="F42" s="58">
        <f t="shared" si="0"/>
        <v>541</v>
      </c>
      <c r="G42" s="5" t="s">
        <v>99</v>
      </c>
      <c r="H42" s="5" t="s">
        <v>34</v>
      </c>
      <c r="I42" t="s">
        <v>144</v>
      </c>
    </row>
    <row r="43" spans="1:12" ht="15.75" thickBot="1">
      <c r="A43">
        <v>41</v>
      </c>
      <c r="B43" s="9" t="s">
        <v>100</v>
      </c>
      <c r="C43" s="10" t="s">
        <v>6</v>
      </c>
      <c r="D43" s="10">
        <v>10</v>
      </c>
      <c r="E43" s="58">
        <f t="shared" si="1"/>
        <v>541</v>
      </c>
      <c r="F43" s="58">
        <f t="shared" si="0"/>
        <v>551</v>
      </c>
      <c r="G43" s="5" t="s">
        <v>101</v>
      </c>
      <c r="H43" s="5" t="s">
        <v>34</v>
      </c>
      <c r="I43" t="s">
        <v>144</v>
      </c>
    </row>
    <row r="44" spans="1:12" ht="15.75" thickBot="1">
      <c r="A44">
        <v>42</v>
      </c>
      <c r="B44" s="9" t="s">
        <v>102</v>
      </c>
      <c r="C44" s="10" t="s">
        <v>6</v>
      </c>
      <c r="D44" s="10">
        <v>3</v>
      </c>
      <c r="E44" s="58">
        <f t="shared" si="1"/>
        <v>551</v>
      </c>
      <c r="F44" s="58">
        <f t="shared" si="0"/>
        <v>554</v>
      </c>
      <c r="G44" s="5" t="s">
        <v>103</v>
      </c>
      <c r="H44" s="5" t="s">
        <v>34</v>
      </c>
      <c r="I44" t="s">
        <v>144</v>
      </c>
    </row>
    <row r="45" spans="1:12" ht="15.75" thickBot="1">
      <c r="A45">
        <v>43</v>
      </c>
      <c r="B45" s="9" t="s">
        <v>104</v>
      </c>
      <c r="C45" s="10" t="s">
        <v>6</v>
      </c>
      <c r="D45" s="10">
        <v>3</v>
      </c>
      <c r="E45" s="58">
        <f t="shared" si="1"/>
        <v>554</v>
      </c>
      <c r="F45" s="58">
        <f t="shared" si="0"/>
        <v>557</v>
      </c>
      <c r="G45" s="5" t="s">
        <v>105</v>
      </c>
      <c r="H45" s="5" t="s">
        <v>34</v>
      </c>
      <c r="I45" t="s">
        <v>144</v>
      </c>
    </row>
    <row r="46" spans="1:12" ht="15.75" thickBot="1">
      <c r="A46">
        <v>44</v>
      </c>
      <c r="B46" s="9" t="s">
        <v>106</v>
      </c>
      <c r="C46" s="10" t="s">
        <v>6</v>
      </c>
      <c r="D46" s="10">
        <v>16</v>
      </c>
      <c r="E46" s="58">
        <f t="shared" si="1"/>
        <v>557</v>
      </c>
      <c r="F46" s="58">
        <f t="shared" si="0"/>
        <v>573</v>
      </c>
      <c r="G46" s="5" t="s">
        <v>107</v>
      </c>
      <c r="H46" s="14" t="s">
        <v>34</v>
      </c>
      <c r="I46" t="s">
        <v>144</v>
      </c>
    </row>
    <row r="47" spans="1:12" ht="15.75" thickBot="1">
      <c r="A47">
        <v>45</v>
      </c>
      <c r="B47" s="9" t="s">
        <v>108</v>
      </c>
      <c r="C47" s="10" t="s">
        <v>6</v>
      </c>
      <c r="D47" s="10">
        <v>1</v>
      </c>
      <c r="E47" s="58">
        <f t="shared" si="1"/>
        <v>573</v>
      </c>
      <c r="F47" s="58">
        <f t="shared" si="0"/>
        <v>574</v>
      </c>
      <c r="G47" s="5" t="s">
        <v>109</v>
      </c>
      <c r="H47" s="5" t="s">
        <v>34</v>
      </c>
      <c r="I47" t="s">
        <v>144</v>
      </c>
    </row>
    <row r="48" spans="1:12" s="61" customFormat="1" ht="45.75" thickBot="1">
      <c r="A48" s="61">
        <v>46</v>
      </c>
      <c r="B48" s="62" t="s">
        <v>110</v>
      </c>
      <c r="C48" s="63" t="s">
        <v>6</v>
      </c>
      <c r="D48" s="63">
        <v>17</v>
      </c>
      <c r="E48" s="60">
        <f t="shared" si="1"/>
        <v>574</v>
      </c>
      <c r="F48" s="60">
        <f t="shared" si="0"/>
        <v>591</v>
      </c>
      <c r="G48" s="68" t="s">
        <v>111</v>
      </c>
      <c r="H48" s="69" t="s">
        <v>314</v>
      </c>
      <c r="I48" s="70" t="s">
        <v>151</v>
      </c>
      <c r="J48" s="71" t="s">
        <v>319</v>
      </c>
      <c r="K48" s="70"/>
      <c r="L48" s="84" t="s">
        <v>321</v>
      </c>
    </row>
    <row r="49" spans="1:12" s="61" customFormat="1" ht="45.75" thickBot="1">
      <c r="A49" s="61">
        <v>47</v>
      </c>
      <c r="B49" s="65" t="s">
        <v>112</v>
      </c>
      <c r="C49" s="66" t="s">
        <v>6</v>
      </c>
      <c r="D49" s="66">
        <v>10</v>
      </c>
      <c r="E49" s="60">
        <f t="shared" si="1"/>
        <v>591</v>
      </c>
      <c r="F49" s="60">
        <f t="shared" ref="F49:F52" si="2">E49+D49</f>
        <v>601</v>
      </c>
      <c r="G49" s="67" t="s">
        <v>113</v>
      </c>
      <c r="H49" s="67" t="s">
        <v>114</v>
      </c>
      <c r="I49" s="61" t="s">
        <v>152</v>
      </c>
      <c r="K49" s="70"/>
      <c r="L49" s="84" t="s">
        <v>320</v>
      </c>
    </row>
    <row r="50" spans="1:12" s="61" customFormat="1" ht="15.75" thickBot="1">
      <c r="A50" s="61">
        <v>48</v>
      </c>
      <c r="B50" s="65" t="s">
        <v>115</v>
      </c>
      <c r="C50" s="66" t="s">
        <v>6</v>
      </c>
      <c r="D50" s="66">
        <v>10</v>
      </c>
      <c r="E50" s="60">
        <f t="shared" si="1"/>
        <v>601</v>
      </c>
      <c r="F50" s="60">
        <f t="shared" si="2"/>
        <v>611</v>
      </c>
      <c r="G50" s="67" t="s">
        <v>116</v>
      </c>
      <c r="H50" s="67" t="s">
        <v>117</v>
      </c>
      <c r="I50" s="61" t="s">
        <v>153</v>
      </c>
      <c r="J50" s="61" t="s">
        <v>293</v>
      </c>
      <c r="K50" s="70"/>
      <c r="L50" s="84" t="s">
        <v>317</v>
      </c>
    </row>
    <row r="51" spans="1:12" ht="15.75" thickBot="1">
      <c r="A51">
        <v>49</v>
      </c>
      <c r="B51" s="9" t="s">
        <v>118</v>
      </c>
      <c r="C51" s="10" t="s">
        <v>6</v>
      </c>
      <c r="D51" s="10">
        <v>24</v>
      </c>
      <c r="E51" s="58">
        <f t="shared" si="1"/>
        <v>611</v>
      </c>
      <c r="F51" s="58">
        <f t="shared" si="2"/>
        <v>635</v>
      </c>
      <c r="G51" s="5" t="s">
        <v>119</v>
      </c>
      <c r="H51" s="5" t="s">
        <v>34</v>
      </c>
      <c r="I51" t="s">
        <v>144</v>
      </c>
    </row>
    <row r="52" spans="1:12" ht="15.75" thickBot="1">
      <c r="A52">
        <v>50</v>
      </c>
      <c r="B52" s="49" t="s">
        <v>120</v>
      </c>
      <c r="C52" s="10" t="s">
        <v>6</v>
      </c>
      <c r="D52" s="10">
        <v>12</v>
      </c>
      <c r="E52" s="58">
        <f t="shared" si="1"/>
        <v>635</v>
      </c>
      <c r="F52" s="58">
        <f t="shared" si="2"/>
        <v>647</v>
      </c>
      <c r="G52" s="5" t="s">
        <v>121</v>
      </c>
      <c r="H52" s="5" t="s">
        <v>168</v>
      </c>
      <c r="I52" t="s">
        <v>144</v>
      </c>
    </row>
    <row r="53" spans="1:12" ht="15.75" thickBot="1">
      <c r="A53">
        <v>51</v>
      </c>
      <c r="B53" s="9" t="s">
        <v>122</v>
      </c>
      <c r="C53" s="10" t="s">
        <v>6</v>
      </c>
      <c r="D53" s="10">
        <v>12</v>
      </c>
      <c r="E53" s="58">
        <f t="shared" si="1"/>
        <v>647</v>
      </c>
      <c r="F53" s="58">
        <f t="shared" ref="F53:F56" si="3">E53+D53</f>
        <v>659</v>
      </c>
      <c r="G53" s="8" t="s">
        <v>123</v>
      </c>
      <c r="H53" s="5" t="s">
        <v>34</v>
      </c>
      <c r="I53" t="s">
        <v>144</v>
      </c>
    </row>
    <row r="54" spans="1:12" ht="15.75" thickBot="1">
      <c r="A54">
        <v>52</v>
      </c>
      <c r="B54" s="85" t="s">
        <v>124</v>
      </c>
      <c r="C54" s="93" t="s">
        <v>6</v>
      </c>
      <c r="D54" s="93">
        <v>4</v>
      </c>
      <c r="E54" s="58">
        <f t="shared" si="1"/>
        <v>659</v>
      </c>
      <c r="F54" s="58">
        <f t="shared" si="3"/>
        <v>663</v>
      </c>
      <c r="G54" s="89" t="s">
        <v>125</v>
      </c>
      <c r="H54" s="4" t="s">
        <v>126</v>
      </c>
      <c r="I54" t="s">
        <v>144</v>
      </c>
    </row>
    <row r="55" spans="1:12" ht="15.75" thickBot="1">
      <c r="A55">
        <v>53</v>
      </c>
      <c r="B55" s="86"/>
      <c r="C55" s="94"/>
      <c r="D55" s="94"/>
      <c r="E55" s="58">
        <f t="shared" si="1"/>
        <v>663</v>
      </c>
      <c r="F55" s="58">
        <f t="shared" si="3"/>
        <v>663</v>
      </c>
      <c r="G55" s="90"/>
      <c r="H55" s="5" t="s">
        <v>127</v>
      </c>
      <c r="I55" t="s">
        <v>144</v>
      </c>
    </row>
    <row r="56" spans="1:12" ht="26.25" thickBot="1">
      <c r="A56">
        <v>54</v>
      </c>
      <c r="B56" s="48" t="s">
        <v>128</v>
      </c>
      <c r="C56" s="51" t="s">
        <v>6</v>
      </c>
      <c r="D56" s="51">
        <v>2</v>
      </c>
      <c r="E56" s="58">
        <f t="shared" si="1"/>
        <v>663</v>
      </c>
      <c r="F56" s="58">
        <f t="shared" si="3"/>
        <v>665</v>
      </c>
      <c r="G56" s="50" t="s">
        <v>129</v>
      </c>
      <c r="H56" s="4" t="s">
        <v>315</v>
      </c>
      <c r="I56" t="s">
        <v>144</v>
      </c>
    </row>
    <row r="57" spans="1:12" ht="15.75" thickBot="1">
      <c r="A57">
        <v>55</v>
      </c>
      <c r="B57" s="9" t="s">
        <v>130</v>
      </c>
      <c r="C57" s="10" t="s">
        <v>6</v>
      </c>
      <c r="D57" s="10">
        <v>6</v>
      </c>
      <c r="E57" s="58">
        <f t="shared" si="1"/>
        <v>665</v>
      </c>
      <c r="F57" s="58">
        <f t="shared" ref="F57:F62" si="4">E57+D57</f>
        <v>671</v>
      </c>
      <c r="G57" s="5" t="s">
        <v>131</v>
      </c>
      <c r="H57" s="5" t="s">
        <v>34</v>
      </c>
      <c r="I57" t="s">
        <v>144</v>
      </c>
    </row>
    <row r="58" spans="1:12" ht="15.75" thickBot="1">
      <c r="A58">
        <v>56</v>
      </c>
      <c r="B58" s="9" t="s">
        <v>132</v>
      </c>
      <c r="C58" s="10" t="s">
        <v>6</v>
      </c>
      <c r="D58" s="10">
        <v>1</v>
      </c>
      <c r="E58" s="58">
        <f t="shared" si="1"/>
        <v>671</v>
      </c>
      <c r="F58" s="58">
        <f t="shared" si="4"/>
        <v>672</v>
      </c>
      <c r="G58" s="5" t="s">
        <v>133</v>
      </c>
      <c r="H58" s="5" t="s">
        <v>34</v>
      </c>
      <c r="I58" t="s">
        <v>144</v>
      </c>
    </row>
    <row r="59" spans="1:12" ht="15.75" thickBot="1">
      <c r="A59">
        <v>57</v>
      </c>
      <c r="B59" s="9" t="s">
        <v>134</v>
      </c>
      <c r="C59" s="10" t="s">
        <v>6</v>
      </c>
      <c r="D59" s="10">
        <v>1</v>
      </c>
      <c r="E59" s="58">
        <f t="shared" si="1"/>
        <v>672</v>
      </c>
      <c r="F59" s="58">
        <f t="shared" si="4"/>
        <v>673</v>
      </c>
      <c r="G59" s="5" t="s">
        <v>135</v>
      </c>
      <c r="H59" s="5" t="s">
        <v>34</v>
      </c>
      <c r="I59" t="s">
        <v>144</v>
      </c>
    </row>
    <row r="60" spans="1:12" s="61" customFormat="1" ht="30.75" thickBot="1">
      <c r="A60" s="61">
        <v>58</v>
      </c>
      <c r="B60" s="65" t="s">
        <v>136</v>
      </c>
      <c r="C60" s="66" t="s">
        <v>6</v>
      </c>
      <c r="D60" s="66">
        <v>20</v>
      </c>
      <c r="E60" s="60">
        <f t="shared" si="1"/>
        <v>673</v>
      </c>
      <c r="F60" s="60">
        <f t="shared" si="4"/>
        <v>693</v>
      </c>
      <c r="G60" s="72" t="s">
        <v>137</v>
      </c>
      <c r="H60" s="67" t="s">
        <v>138</v>
      </c>
      <c r="I60" s="61" t="s">
        <v>144</v>
      </c>
      <c r="K60" s="70"/>
      <c r="L60" s="84" t="s">
        <v>318</v>
      </c>
    </row>
    <row r="61" spans="1:12" ht="15.75" thickBot="1">
      <c r="A61">
        <v>59</v>
      </c>
      <c r="B61" s="9" t="s">
        <v>139</v>
      </c>
      <c r="C61" s="10" t="s">
        <v>6</v>
      </c>
      <c r="D61" s="10">
        <v>3</v>
      </c>
      <c r="E61" s="58">
        <f t="shared" si="1"/>
        <v>693</v>
      </c>
      <c r="F61" s="58">
        <f t="shared" si="4"/>
        <v>696</v>
      </c>
      <c r="G61" s="5" t="s">
        <v>140</v>
      </c>
      <c r="H61" s="5" t="s">
        <v>34</v>
      </c>
      <c r="I61" t="s">
        <v>144</v>
      </c>
    </row>
    <row r="62" spans="1:12" ht="15.75" thickBot="1">
      <c r="A62">
        <v>60</v>
      </c>
      <c r="B62" s="9" t="s">
        <v>141</v>
      </c>
      <c r="C62" s="10" t="s">
        <v>6</v>
      </c>
      <c r="D62" s="10">
        <v>1</v>
      </c>
      <c r="E62" s="58">
        <f t="shared" si="1"/>
        <v>696</v>
      </c>
      <c r="F62" s="58">
        <f t="shared" si="4"/>
        <v>697</v>
      </c>
      <c r="G62" s="5" t="s">
        <v>142</v>
      </c>
      <c r="H62" s="5" t="s">
        <v>34</v>
      </c>
      <c r="I62" t="s">
        <v>144</v>
      </c>
    </row>
    <row r="63" spans="1:12">
      <c r="D63">
        <f>SUM(D3:D62)</f>
        <v>696</v>
      </c>
    </row>
  </sheetData>
  <mergeCells count="4">
    <mergeCell ref="B54:B55"/>
    <mergeCell ref="C54:C55"/>
    <mergeCell ref="D54:D55"/>
    <mergeCell ref="G54:G55"/>
  </mergeCells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 Control</vt:lpstr>
      <vt:lpstr>Cabecera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Gómez</dc:creator>
  <cp:lastModifiedBy>Jessica Godinez Egner</cp:lastModifiedBy>
  <dcterms:created xsi:type="dcterms:W3CDTF">2020-02-11T17:59:37Z</dcterms:created>
  <dcterms:modified xsi:type="dcterms:W3CDTF">2023-06-02T18:55:09Z</dcterms:modified>
</cp:coreProperties>
</file>